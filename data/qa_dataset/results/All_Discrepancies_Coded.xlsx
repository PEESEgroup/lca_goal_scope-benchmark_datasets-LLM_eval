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natha\PycharmProjects\llm-goal-scope\data\qa_dataset\results\"/>
    </mc:Choice>
  </mc:AlternateContent>
  <xr:revisionPtr revIDLastSave="0" documentId="13_ncr:1_{27400293-DC08-492D-97CC-9A6F3C701853}" xr6:coauthVersionLast="47" xr6:coauthVersionMax="47" xr10:uidLastSave="{00000000-0000-0000-0000-000000000000}"/>
  <bookViews>
    <workbookView xWindow="-120" yWindow="-120" windowWidth="29040" windowHeight="17520" xr2:uid="{00000000-000D-0000-FFFF-FFFF00000000}"/>
  </bookViews>
  <sheets>
    <sheet name="All Errors" sheetId="1" r:id="rId1"/>
    <sheet name="Encoding Errors" sheetId="2" r:id="rId2"/>
  </sheets>
  <definedNames>
    <definedName name="_xlnm._FilterDatabase" localSheetId="0" hidden="1">'All Errors'!$A$1:$J$277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8" i="1" l="1"/>
  <c r="I41" i="1"/>
  <c r="I139" i="1"/>
  <c r="I63" i="1"/>
  <c r="I250" i="1"/>
  <c r="I140" i="1"/>
  <c r="I75" i="1"/>
  <c r="I74" i="1"/>
  <c r="I76" i="1"/>
  <c r="I251" i="1"/>
  <c r="I258" i="1"/>
  <c r="I77" i="1"/>
  <c r="I26" i="1"/>
  <c r="I78" i="1"/>
  <c r="I103" i="1"/>
  <c r="I33" i="1"/>
  <c r="I204" i="1"/>
  <c r="I206" i="1"/>
  <c r="I23" i="1"/>
  <c r="I106" i="1"/>
  <c r="I254" i="1"/>
  <c r="I273" i="1"/>
  <c r="I49" i="1"/>
  <c r="I153" i="1"/>
  <c r="I92" i="1"/>
  <c r="I155" i="1"/>
  <c r="I79" i="1"/>
  <c r="I93" i="1"/>
  <c r="I50" i="1"/>
  <c r="I94" i="1"/>
  <c r="I96" i="1"/>
  <c r="I95" i="1"/>
  <c r="I116" i="1"/>
  <c r="I57" i="1"/>
  <c r="I246" i="1"/>
  <c r="I157" i="1"/>
  <c r="I208" i="1"/>
  <c r="I117" i="1"/>
  <c r="I118" i="1"/>
  <c r="I58" i="1"/>
  <c r="I194" i="1"/>
  <c r="I120" i="1"/>
  <c r="I119" i="1"/>
  <c r="I193" i="1"/>
  <c r="I36" i="1"/>
  <c r="I65" i="1"/>
  <c r="I209" i="1"/>
  <c r="I121" i="1"/>
  <c r="I261" i="1"/>
  <c r="I39" i="1"/>
  <c r="I215" i="1"/>
  <c r="I216" i="1"/>
  <c r="I20" i="1"/>
  <c r="I2" i="1"/>
  <c r="I163" i="1"/>
  <c r="I27" i="1"/>
  <c r="I218" i="1"/>
  <c r="I101" i="1"/>
  <c r="I3" i="1"/>
  <c r="I28" i="1"/>
  <c r="I31" i="1"/>
  <c r="I34" i="1"/>
  <c r="I4" i="1"/>
  <c r="I164" i="1"/>
  <c r="I165" i="1"/>
  <c r="I51" i="1"/>
  <c r="I201" i="1"/>
  <c r="I200" i="1"/>
  <c r="I5" i="1"/>
  <c r="I21" i="1"/>
  <c r="I166" i="1"/>
  <c r="I111" i="1"/>
  <c r="I219" i="1"/>
  <c r="I167" i="1"/>
  <c r="I6" i="1"/>
  <c r="I22" i="1"/>
  <c r="I235" i="1"/>
  <c r="I221" i="1"/>
  <c r="I266" i="1"/>
  <c r="I59" i="1"/>
  <c r="I217" i="1"/>
  <c r="I267" i="1"/>
  <c r="I268" i="1"/>
  <c r="I252" i="1"/>
  <c r="I223" i="1"/>
  <c r="I112" i="1"/>
  <c r="I231" i="1"/>
  <c r="I229" i="1"/>
  <c r="I262" i="1"/>
  <c r="I228" i="1"/>
  <c r="I253" i="1"/>
  <c r="I244" i="1"/>
  <c r="I30" i="1"/>
  <c r="I42" i="1"/>
  <c r="I152" i="1"/>
  <c r="I190" i="1"/>
  <c r="I135" i="1"/>
  <c r="I191" i="1"/>
  <c r="I247" i="1"/>
  <c r="I43" i="1"/>
  <c r="I73" i="1"/>
  <c r="I248" i="1"/>
  <c r="I80" i="1"/>
  <c r="I81" i="1"/>
  <c r="I232" i="1"/>
  <c r="I82" i="1"/>
  <c r="I104" i="1"/>
  <c r="I91" i="1"/>
  <c r="I205" i="1"/>
  <c r="I35" i="1"/>
  <c r="I105" i="1"/>
  <c r="I64" i="1"/>
  <c r="I257" i="1"/>
  <c r="I48" i="1"/>
  <c r="I197" i="1"/>
  <c r="I233" i="1"/>
  <c r="I60" i="1"/>
  <c r="I270" i="1"/>
  <c r="I154" i="1"/>
  <c r="I97" i="1"/>
  <c r="I98" i="1"/>
  <c r="I99" i="1"/>
  <c r="I151" i="1"/>
  <c r="I52" i="1"/>
  <c r="I100" i="1"/>
  <c r="I107" i="1"/>
  <c r="I61" i="1"/>
  <c r="I156" i="1"/>
  <c r="I113" i="1"/>
  <c r="I207" i="1"/>
  <c r="I245" i="1"/>
  <c r="I114" i="1"/>
  <c r="I115" i="1"/>
  <c r="I62" i="1"/>
  <c r="I210" i="1"/>
  <c r="I192" i="1"/>
  <c r="I158" i="1"/>
  <c r="I122" i="1"/>
  <c r="I159" i="1"/>
  <c r="I259" i="1"/>
  <c r="I196" i="1"/>
  <c r="I211" i="1"/>
  <c r="I37" i="1"/>
  <c r="I160" i="1"/>
  <c r="I271" i="1"/>
  <c r="I212" i="1"/>
  <c r="I11" i="1"/>
  <c r="I29" i="1"/>
  <c r="I272" i="1"/>
  <c r="I32" i="1"/>
  <c r="I203" i="1"/>
  <c r="I12" i="1"/>
  <c r="I53" i="1"/>
  <c r="I202" i="1"/>
  <c r="I162" i="1"/>
  <c r="I168" i="1"/>
  <c r="I161" i="1"/>
  <c r="I102" i="1"/>
  <c r="I38" i="1"/>
  <c r="I13" i="1"/>
  <c r="I24" i="1"/>
  <c r="I14" i="1"/>
  <c r="I66" i="1"/>
  <c r="I263" i="1"/>
  <c r="I220" i="1"/>
  <c r="I108" i="1"/>
  <c r="I264" i="1"/>
  <c r="I15" i="1"/>
  <c r="I25" i="1"/>
  <c r="I234" i="1"/>
  <c r="I222" i="1"/>
  <c r="I265" i="1"/>
  <c r="I109" i="1"/>
  <c r="I224" i="1"/>
  <c r="I249" i="1"/>
  <c r="I213" i="1"/>
  <c r="I214" i="1"/>
  <c r="I110" i="1"/>
  <c r="I260" i="1"/>
  <c r="I230" i="1"/>
  <c r="I134" i="1"/>
  <c r="I83" i="1"/>
  <c r="I85" i="1"/>
  <c r="I84" i="1"/>
  <c r="I86" i="1"/>
  <c r="I137" i="1"/>
  <c r="I237" i="1"/>
  <c r="I44" i="1"/>
  <c r="I89" i="1"/>
  <c r="I88" i="1"/>
  <c r="I238" i="1"/>
  <c r="I45" i="1"/>
  <c r="I123" i="1"/>
  <c r="I124" i="1"/>
  <c r="I125" i="1"/>
  <c r="I127" i="1"/>
  <c r="I269" i="1"/>
  <c r="I275" i="1"/>
  <c r="I256" i="1"/>
  <c r="I141" i="1"/>
  <c r="I239" i="1"/>
  <c r="I126" i="1"/>
  <c r="I128" i="1"/>
  <c r="I143" i="1"/>
  <c r="I129" i="1"/>
  <c r="I130" i="1"/>
  <c r="I169" i="1"/>
  <c r="I145" i="1"/>
  <c r="I147" i="1"/>
  <c r="I67" i="1"/>
  <c r="I150" i="1"/>
  <c r="I54" i="1"/>
  <c r="I7" i="1"/>
  <c r="I8" i="1"/>
  <c r="I170" i="1"/>
  <c r="I171" i="1"/>
  <c r="I277" i="1"/>
  <c r="I68" i="1"/>
  <c r="I172" i="1"/>
  <c r="I173" i="1"/>
  <c r="I174" i="1"/>
  <c r="I241" i="1"/>
  <c r="I9" i="1"/>
  <c r="I176" i="1"/>
  <c r="I55" i="1"/>
  <c r="I69" i="1"/>
  <c r="I175" i="1"/>
  <c r="I10" i="1"/>
  <c r="I198" i="1"/>
  <c r="I177" i="1"/>
  <c r="I178" i="1"/>
  <c r="I179" i="1"/>
  <c r="I226" i="1"/>
  <c r="I70" i="1"/>
  <c r="I133" i="1"/>
  <c r="I136" i="1"/>
  <c r="I46" i="1"/>
  <c r="I87" i="1"/>
  <c r="I47" i="1"/>
  <c r="I90" i="1"/>
  <c r="I131" i="1"/>
  <c r="I132" i="1"/>
  <c r="I240" i="1"/>
  <c r="I255" i="1"/>
  <c r="I236" i="1"/>
  <c r="I142" i="1"/>
  <c r="I274" i="1"/>
  <c r="I56" i="1"/>
  <c r="I180" i="1"/>
  <c r="I181" i="1"/>
  <c r="I182" i="1"/>
  <c r="I144" i="1"/>
  <c r="I183" i="1"/>
  <c r="I146" i="1"/>
  <c r="I148" i="1"/>
  <c r="I149" i="1"/>
  <c r="I184" i="1"/>
  <c r="I16" i="1"/>
  <c r="I17" i="1"/>
  <c r="I276" i="1"/>
  <c r="I71" i="1"/>
  <c r="I72" i="1"/>
  <c r="I185" i="1"/>
  <c r="I186" i="1"/>
  <c r="I242" i="1"/>
  <c r="I18" i="1"/>
  <c r="I195" i="1"/>
  <c r="I19" i="1"/>
  <c r="I187" i="1"/>
  <c r="I199" i="1"/>
  <c r="I188" i="1"/>
  <c r="I243" i="1"/>
  <c r="I189" i="1"/>
  <c r="I227" i="1"/>
  <c r="I225" i="1"/>
  <c r="I40" i="1"/>
</calcChain>
</file>

<file path=xl/sharedStrings.xml><?xml version="1.0" encoding="utf-8"?>
<sst xmlns="http://schemas.openxmlformats.org/spreadsheetml/2006/main" count="1459" uniqueCount="280">
  <si>
    <t>Sentence</t>
  </si>
  <si>
    <t>Frequency</t>
  </si>
  <si>
    <t>Sample Index</t>
  </si>
  <si>
    <t>Dataset</t>
  </si>
  <si>
    <t>Dataset Type</t>
  </si>
  <si>
    <t>RAG</t>
  </si>
  <si>
    <t>ML model predicted True_otherChemical but the humans predicted No True_otherChemical.</t>
  </si>
  <si>
    <t>systemBoundaryQA</t>
  </si>
  <si>
    <t>original</t>
  </si>
  <si>
    <t>no rag</t>
  </si>
  <si>
    <t>ML model predicted kg liveweight/head but the humans predicted No kg liveweight/head.</t>
  </si>
  <si>
    <t>functionalUnitQA</t>
  </si>
  <si>
    <t>ML model predicted No kg cold carcass weight/head but the humans predicted kg cold carcass weight/head.</t>
  </si>
  <si>
    <t>ML model predicted True_pesticideVeterinaryDrug but the humans predicted No True_pesticideVeterinaryDrug.</t>
  </si>
  <si>
    <t>ML model predicted True_cropResidue but the humans predicted No True_cropResidue.</t>
  </si>
  <si>
    <t>ML model predicted No True_water but the humans predicted True_water.</t>
  </si>
  <si>
    <t>ML model predicted True_liveAnimalInput but the humans predicted No True_liveAnimalInput.</t>
  </si>
  <si>
    <t>ML model predicted relative but the humans predicted No relative.</t>
  </si>
  <si>
    <t>ML model predicted True_seed but the humans predicted No True_seed.</t>
  </si>
  <si>
    <t>ML model predicted days but the humans predicted No days.</t>
  </si>
  <si>
    <t>ML model predicted none required but the humans predicted No none required.</t>
  </si>
  <si>
    <t>allocationQA</t>
  </si>
  <si>
    <t>ML model predicted economic but the humans predicted No economic.</t>
  </si>
  <si>
    <t>ML model predicted No biophysical but the humans predicted biophysical.</t>
  </si>
  <si>
    <t>ML model predicted No none required but the humans predicted none required.</t>
  </si>
  <si>
    <t>ML model predicted none but the humans predicted No none.</t>
  </si>
  <si>
    <t>ML model predicted True_fertiliser but the humans predicted No True_fertiliser.</t>
  </si>
  <si>
    <t>ML model predicted No True_transport but the humans predicted True_transport.</t>
  </si>
  <si>
    <t>ML model predicted True_electricityFuel but the humans predicted No True_electricityFuel.</t>
  </si>
  <si>
    <t>ML model predicted True_waste but the humans predicted No True_waste.</t>
  </si>
  <si>
    <t>ML model predicted True_animalPopulation but the humans predicted No True_animalPopulation.</t>
  </si>
  <si>
    <t>ML model predicted No 1 ha but the humans predicted 1 ha.</t>
  </si>
  <si>
    <t>ML model predicted % but the humans predicted No %.</t>
  </si>
  <si>
    <t>ML model predicted No True_freshForage but the humans predicted True_freshForage.</t>
  </si>
  <si>
    <t>ML model predicted No True_waste but the humans predicted True_waste.</t>
  </si>
  <si>
    <t>ML model predicted No True_electricityFuel but the humans predicted True_electricityFuel.</t>
  </si>
  <si>
    <t>ML model predicted No days but the humans predicted days.</t>
  </si>
  <si>
    <t>ML model predicted True_water but the humans predicted No True_water.</t>
  </si>
  <si>
    <t>ML model predicted No % but the humans predicted %.</t>
  </si>
  <si>
    <t>ML model predicted kg but the humans predicted No kg.</t>
  </si>
  <si>
    <t>ML model predicted True_animalFeed but the humans predicted No True_animalFeed.</t>
  </si>
  <si>
    <t>ML model predicted No Dairy cattle, calf but the humans predicted Dairy cattle, calf.</t>
  </si>
  <si>
    <t>productQA</t>
  </si>
  <si>
    <t>ML model predicted Dairy cattle, cow but the humans predicted No Dairy cattle, cow.</t>
  </si>
  <si>
    <t>ML model predicted Meat, dairy cattle (liveweight) but the humans predicted No Meat, dairy cattle (liveweight).</t>
  </si>
  <si>
    <t>ML model predicted No Hides but the humans predicted Hides.</t>
  </si>
  <si>
    <t>ML model predicted Meat but the humans predicted No Meat.</t>
  </si>
  <si>
    <t>ML model predicted Dairy cattle but the humans predicted No Dairy cattle.</t>
  </si>
  <si>
    <t>ML model predicted No Hides, dairy cattle, fresh but the humans predicted Hides, dairy cattle, fresh.</t>
  </si>
  <si>
    <t>ML model predicted Ricotta but the humans predicted No Ricotta.</t>
  </si>
  <si>
    <t>ML model predicted No Caciotta but the humans predicted Caciotta.</t>
  </si>
  <si>
    <t>ML model predicted No none but the humans predicted none.</t>
  </si>
  <si>
    <t>ML model predicted No True_seed but the humans predicted True_seed.</t>
  </si>
  <si>
    <t>ML model predicted True_freshForage but the humans predicted No True_freshForage.</t>
  </si>
  <si>
    <t>ML model predicted kg cold carcass weight/head but the humans predicted No kg cold carcass weight/head.</t>
  </si>
  <si>
    <t>ML model predicted No True_excreta but the humans predicted True_excreta.</t>
  </si>
  <si>
    <t>recalculated</t>
  </si>
  <si>
    <t>rag</t>
  </si>
  <si>
    <t>ML model predicted True_transport but the humans predicted No True_transport.</t>
  </si>
  <si>
    <t>ML model predicted No kg liveweight/head but the humans predicted kg liveweight/head.</t>
  </si>
  <si>
    <t>ML model predicted Layer chicken but the humans predicted No Layer chicken.</t>
  </si>
  <si>
    <t>ML model predicted No Electricity but the humans predicted Electricity.</t>
  </si>
  <si>
    <t>ML model predicted No Electricity, produced on but the humans predicted Electricity, produced on.</t>
  </si>
  <si>
    <t>ML model predicted True_ingredient but the humans predicted No True_ingredient.</t>
  </si>
  <si>
    <t>ML model predicted No True_liveAnimalInput but the humans predicted True_liveAnimalInput.</t>
  </si>
  <si>
    <t>ML model predicted Beef cattle, heifer but the humans predicted No Beef cattle, heifer.</t>
  </si>
  <si>
    <t>ML model predicted True_excreta but the humans predicted No True_excreta.</t>
  </si>
  <si>
    <t>ML model predicted True_operation but the humans predicted No True_operation.</t>
  </si>
  <si>
    <t>ML model predicted True_material but the humans predicted No True_material.</t>
  </si>
  <si>
    <t>ML model predicted mass but the humans predicted No mass.</t>
  </si>
  <si>
    <t>ML model predicted No True_soilAmendment but the humans predicted True_soilAmendment.</t>
  </si>
  <si>
    <t>ML model predicted No True_pesticideVeterinaryDrug but the humans predicted True_pesticideVeterinaryDrug.</t>
  </si>
  <si>
    <t>ML model predicted biophysical but the humans predicted No biophysical.</t>
  </si>
  <si>
    <t>ML model predicted energy but the humans predicted No energy.</t>
  </si>
  <si>
    <t>Table of Rationale</t>
  </si>
  <si>
    <t>Label not in training data</t>
  </si>
  <si>
    <t>Label occurs &lt;10% of the time in training samples</t>
  </si>
  <si>
    <t>Label occurs &lt;5% of the time in training samples</t>
  </si>
  <si>
    <t>AI model likely incorrect</t>
  </si>
  <si>
    <t>AI model has justifiable response</t>
  </si>
  <si>
    <t>Unclear</t>
  </si>
  <si>
    <t>Code</t>
  </si>
  <si>
    <t>Rationale</t>
  </si>
  <si>
    <t>animal housing producing Pig, sow in Denmark. Additional description: Sows. Additional Context: The functional unit for the production system "animal housing producing Pig, sow in Denmark" is 1 kg of live weight (LW) of pigs leaving the pig unit, including culled SOWS and slaughter pigs.</t>
  </si>
  <si>
    <t>permanent pasture producing Beef cattle, steer in Brazil. Additional description: Beef, Brachiaria brizantha pasture (Scenario 2). What is in the system boundary? Additional Context: Here is a summary of the relevant life cycle assessment (LCA) information:**System Boundaries:*** The system boundary includes:+ Feed production (grain, silage, and concentrates)+ Fertilizer production+ Manure management+ Electricity and diesel fuel use+ Land use (pasture and grazing)+ Transportation of feed, fertilizers, and other inputs+ Farm operations (e.g., breeding, feeding, and slaughter)* The system excludes:+ Medicines and insecticides+ Machines and buildings+ Roads and infrastructure+ Carbon sequestration and biogenic carbon emissions+ Non-local feeds and production processes**Feed Production:*** Feed consists of:	+ Home-grown grass (silage and grazed grass)	+ Home-grown cereals (e.g., spring barley, maize)	+ Imported soy meal and minerals* Feed production is affected by:	+ Increased demand for feed (e.g., soybean production, mineral feed supplement production)**Land Use:*** Land use includes:	+ Pasture and grazing	+ Grassland for silage production* Land use is defined by:+</t>
  </si>
  <si>
    <t>permanent pasture producing Sheep, ewe in United Kingdom. Additional description: High sugar pasture for sheep and cattle.. Additional Context: The functional unit for the production system of permanent pasture producing sheep in the United Kingdom is 1 ewe.</t>
  </si>
  <si>
    <t>animal housing producing Milk, cow, raw (FPCM) in Denmark. Additional description: Conventional dairy. What is in the system boundary? Additional Context: The system boundary of the conventional dairy production system in Denmark includes:1. Farm activities related to milk production2. On-farm and off-farm feeds production3. Purchase of feeds (concentrates, fodders, silages, cereals, proteic feeds)4. Purchase of bedding materials (straw, corn stalks, sawdust)5. Production of manure from animal breeding6. Purchase of productive agricultural factors required for on-farm feeds production (seeds, fertilizers, pesticides)7. Transport of animal feed and milk products8. Emissions from manure (raw or composted)9. Major building materials for farm and processing plant buildings (amortized over 50 years for farm buildings and 30 years for milk plant buildings)10. Employee transport and corporate office operation.</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</si>
  <si>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"biophysical" or "economic" since system expansion is not necessary. Biophysical allocation is not necessary because the system is a closed system where the inputs and outputs are well-defined, and the energy required to produce the beef is already accounted for in the production process. Economic allocation is the most suitable choice as it is a practical approach that takes into account the market value of the products and is consistent in application.</t>
  </si>
  <si>
    <t>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 Permanent pasture producing beef cattle* Fertilized Guinea grass (Panicum maximum cv. TanzÃ¢nia) pasture* 75-day finishing period in confinement (Scenario 5)</t>
  </si>
  <si>
    <t>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t>
  </si>
  <si>
    <t>animal housing producing Beef cattle, calf (male, weaned) in United Kingdom. Additional description: Indoor cattle system.. Additional Context: The functional unit for the animal housing producing Beef cattle, calf (male, weaned) in the United Kingdom is 1 kg of live weight (LW) of beef cattle.</t>
  </si>
  <si>
    <t>animal housing producing Eggs, hen, in shell (number) in Thailand. Additional description: CB8-Parent farm 5. What is in the system boundary? Additional Context: Here is a summary of the relevant life cycle assessment (LCA) information:**System Boundaries:*** The system boundaries include all relevant material and energy inputs and emissions from the cradle-to-customer supply chains of Canadian egg and egg products in 2012.* The system includes:	+ Breeder Flock Facilities (chicks, feed, water, energy, manure management, spent hen disposal)	+ Layer Facilities (housing system type and characteristics, management practices, on-farm resource use, hen performance)+ Transport (inputs and emissions from transport of inputs and outputs)	+ Grading Facilities (grading, washing, packaging)	+ Retail (distribution to retailers)	+ Egg Breaking and Further Processing Facilities (production of liquid whole egg, egg white, or egg yolk products)**Functional Unit (FU):*** The FU is 1 kg of eggs leaving the farm gate.**Subsystems:*** Concentrate and Litter Production* Rearing Hen Husbandry (including hatching)* Laying Hen Husbandry* Transport**Ecological Indicators:*** Global Warming Potential (GWP)* Energy Use (EU)* Land Occupation (LO)* Fossil Phosphorus Use</t>
  </si>
  <si>
    <t>animal housing producing Dairy cattle, cow in Southern Europe. Additional description: Aggregate cycle representing all 75 dairy farms sampled. What is in the system boundary? Additional Context: The system boundary of this production system includes:1. Animal housing2. Dairy cattle production3. Feed production (including alfalfa, silages, and grain premix)4. Manure management5. Fertilizer and pesticide use6. Irrigation and water management7. Fuel use (diesel, electricity, and natural gas)8. Equipment maintenance and operation9. Transportation of animal feed and milk products10. Farm infrastructure (buildings, roads, and tools)11. Labor and employee transportation12. Waste management (manure, wastewater, and packaging)13. Emissions from animal respiration and manure storage14. Production of ancillary inputs (seeds, fertilizers, and pesticides)15. Carbon sequestration and biogenic carbon emissions of locally produced feeds (not considered due to short vegetation cycles)The system boundary does not include:1. Emissions from land use change2. Emissions from transport of bulls to the slaughterhouse3. Emissions from processing of meat4. Consumption phase of the different products5. Major building materials (amortized over 50 years for farm buildings and 30 years for milk plant buildings)6. Medicines and seeds</t>
  </si>
  <si>
    <t xml:space="preserve"> producing Pig in Germany. What is in the system boundary? Additional Context: The system boundary of the production system in Germany includes:1. Production of crops and feed2. Production of feed components (except fish meal and premix)3. Agricultural activities (e.g. fertilizers, pesticides, herbicides, diesel use)4. Animal production (including sows, piglets, and grow-finishing pigs)5. Slurry management and its application on agricultural lands6. Distribution of pig feed from Portuguese feed producers to the farm gate (400 km)7. Slaughtering of pigs and processing to pork8. Exclusion of packaging of meat, food retailing, and consumption of meat.</t>
  </si>
  <si>
    <t>animal housing producing Layer chicken, pullet in Mexico. Additional description: Chick breeding (6 weeks). Additional Context: The functional unit for the production system of animal housing producing Layer chicken, pullet in Mexico is a kilogram of egg production.</t>
  </si>
  <si>
    <t>animal housing producing Layer chicken, pullet in Mexico. Additional description: Chick breeding (6 weeks). Additional Context: For the animal housing producing Layer chicken production system, the appropriate allocation method is "none required" because system expansion is not necessary.</t>
  </si>
  <si>
    <t>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is:System expansion is not necessary, as the system is already representative of a specific agricultural production system (permanent meadows farm). Therefore, the answer is: "none required".</t>
  </si>
  <si>
    <t>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t>
  </si>
  <si>
    <t>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information:**System boundary:** The system boundary includes the entire production process from birth to slaughter, including:* Breeding and reproduction* Grazing and feeding* Manure management* Land use and soil management* Feed production (grains, silage, and mineral supplements)* Energy production (e.g., electricity, fuel)* Water use and management* Waste management* Slaughter and processing**Subsystems:*** Extensive (EXT) system: no fencing, cattle grazed in the same manner, no supplementation* Semi-intensive (Semi-INT) system: cultivated pastures with Brachiaria and supplemented with mineral salts* Fattening system: cattle fattened on a mix of outdoor grazing and indoor feeding of grass silage and concentrates**Inputs:*** Feed (grains, silage, mineral supplements)* Water* Energy (electricity, fuel)* Manure* Land use and soil management* Mineral supplements**Outputs:*** Beef meat* Manure* Waste (e.g., silage, feed waste)* Greenhouse gas emissions (GHGs)* Water pollution (e</t>
  </si>
  <si>
    <t>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 For beef production systems:	+ System boundary: "cradle to farm-gate" perspective	+ Includes:		- Farming systems (EXT and INT)		- Grazing and feeding systems		- Breeding and reproduction- Manure management		- Energy use (diesel fuel and electricity)		- Nutrient balances (fertilizers, manure, etc.)	+ Excludes:		- Upstream cutoff systems (e.g. construction, equipment maintenance, services)- Downstream processes (e.g. processing, packaging, distribution)* For agri-food processor producing meat:	+ System boundary: includes production of meat, beef cattle (cold carcass weight)	+ Includes:		- Farming systems (EXT and INT)		- Grazing and feeding systems		- Breeding and reproduction		- Manure management		- Energy use (diesel fuel and electricity)		- Nutrient balances (fertilizers, manure, etc.)	+ Excludes:		- Upstream processes (e.g. feed production, processing, packaging)</t>
  </si>
  <si>
    <t>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 Dairy herd (lactating and dry cows, heifers, calves, and bulls)* Feed production (organic alfalfa, silages, grain premix, and other grass hays and silages)* Irrigation, fertilizers, pesticides, and machinery* Non-local feeds with related production and transport processes* Ancillary inputs (fuels, electricity, and drinking water for the cattle)* Farm buildings, roads, and tools* Equipment for grazing and haying* Manure and waste management* Pasture management (irrigation, manure spreading, and seeding)* Diffuse emissions (N2O, CH4) from manure spread or deposited on pastures* Milk processing plant (ultrapasteurization, homogenization, and packaging)* Transportation of animal feed and milk products* Employee transport and corporate office operation* Farming and grazing activities (including pasture management and animal husbandry)* Manure and waste treatment* Packaging and storage of milk and dairy products* Emissions to soil, water, and air from the entire production process.</t>
  </si>
  <si>
    <t>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t>
  </si>
  <si>
    <t>permanent pasture producing Sheep, ewe in United Kingdom. Additional description: High sugar and white clover pasture mix for sheep and cattle.. Additional Context: The functional unit for the permanent pasture producing sheep system in the United Kingdom is 1 kg of greasy wool.</t>
  </si>
  <si>
    <t>animal housing producing Pig in Denmark. Additional description: Piglets. Additional Context: The functional unit for the animal housing producing Pig in Denmark is 1 kg of live weight (LW) of pigs leaving the pig unit, including culled SOWS and slaughter pigs.</t>
  </si>
  <si>
    <t>animal housing producing Pig in Denmark. Additional description: Piglets. What is in the system boundary? Additional Context: The system boundary of this production system includes:1. Animal housing2. Piglet production3. Sow breeding and gestation4. Farrowing5. Weaning6. Finishing phase7. Slaughtering8. Feed production (from Portuguese feed producers to the farm gate, 400 km)9. Slurry management and application on agricultural lands10. Electricity production11. Water and soil management12. Organic waste treatment13. Heat production14. Premix and fish meal production15. Natural gas production16. Avoided mineral fertilizer production and application17. Transportation of piglets, feeds, and other materials (up to 400 km)</t>
  </si>
  <si>
    <t>animal housing producing Pig in Denmark. Additional description: Piglets. Additional Context: For the animal housing production system producing Piglets in Denmark, the appropriate allocation method is "none required" because system expansion is not necessary.</t>
  </si>
  <si>
    <t>agri-food processor producing Meat, beef cattle (cold carcass weight) in Ireland. Additional Context: The functional unit for the agri-food processor producing Meat, beef cattle (cold carcass weight) in Ireland is 1 kg of live weight (LW) of beef cattle.</t>
  </si>
  <si>
    <t>permanent pasture producing Sheep, ewe in United Kingdom. Additional description: Generic grass pasture for sheep and cattle.. Additional Context: The functional unit for the production system of permanent pasture producing sheep in the United Kingdom is one animal.</t>
  </si>
  <si>
    <t>agri-food processor producing Ripened cheese in Spain. What is in the system boundary? Additional Context: The system boundary of this production system includes:1. Dairy farm:    - Agricultural activities related to animal feed production (maize silage, ryegrass silage, straw, and concentrates)   - Raw milk production   - Transportation of raw milk to the dairy factory2. Dairy factory:  - Milk treatment   - Coagulation and moulding   - Salting and smoking   - Packaging3. Waste treatment:    - Treatment processes related to waste management of packaging materials and sludge from the WWTP (Wastewater Treatment Plant)</t>
  </si>
  <si>
    <t xml:space="preserve">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system:**System Boundaries:*** Chicken farm* Slaughterhouse* Feed production line (including water treatment and steam production)* Packaging process (including packaging materials production and distribution)* Transportation of chickens from farm to slaughterhouse**Excluded Processes:*** Production of cleaning agents (detergents and disinfectants)* Production of vaccines and antibiotics* Solid-stream processing (activities related to processing of organic residues)* Production of capital goods and infrastructures**Included Processes:*** Reception of chicks at the farm gate* Fattening period of 34 days* Production of chicken feed (maize, wheat, soybean cake, soybean oil, monocalcium phosphate, protein concentrate, and fats)* Vaccination and antibiotic administration* Cleaning activities at the chicken farm* Wastewater treatment in a small WWTP on the chicken farm* Slaughterhouse activities (killing, scalding, evisceration, and packaging)* Transportation of chickens from farm to slaughterhouse</t>
  </si>
  <si>
    <t xml:space="preserve">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t>
  </si>
  <si>
    <t xml:space="preserve"> producing Broiler chicken in Russia. Additional description: Poultry production under the conditions of the central region in european Russia. Additional Context: For the production system of producing Broiler chicken in Russia, the appropriate allocation method is "none required" because system expansion is not necessary. This is because the production system is relatively simple and does not involve complex co-products that require allocation.</t>
  </si>
  <si>
    <t>animal housing producing Eggs, hen, in shell in Canada. Additional description: In multi-tier free run systems, hens live either directly on the floor or within an aviary structure, with access to perches, nest and scratch areas, and other enrichments.. Additional Context: Based on the provided context, the appropriate allocation method for the animal housing producing Eggs, hen, in shell in Canada is:Economic allocation.This is because the study aims to compare results with previous studies that used economic allocation, and it is also appealing since the economic value of poultry is relatively small compared to the value of eggs. Additionally, the study mentions that economic allocation is the last of the steps described in the ISO 14044 standard and is sometimes interpreted as the least desirable, but it is chosen here due to its practical approach.</t>
  </si>
  <si>
    <t>permanent pasture producing Milk, cow, raw (FPCM) in Ireland. Additional description: A representative sample of Irish dairy farms.. Additional Context: The functional unit for the production system is 1 kg FPCM (Fat and Protein Corrected Milk).</t>
  </si>
  <si>
    <t>permanent pasture producing Milk, cow, raw (FPCM) in Ireland. Additional description: A representative sample of Irish dairy farms.. What is in the system boundary? Additional Context: The system boundary includes:1. Dairy herd (lactating and dry cows, heifers, calves, and bulls)2. Feed production (organic alfalfa, grain premix, and other grass hays and silages)3. Irrigation, manure spreading, and seeding of pastures4. Diffuse emissions (N2O, CH4) from manure spread or deposited on pastures5. Electricity and diesel usage for agricultural operations (e.g. fertiliser application, manure application, forage production)6. Manure management7. Transportation of feed and milk products8. Farm buildings and equipment (amortized over 50 years for farm buildings and 30 years for milk plant buildings)9. Employee transport and corporate office operation10. Raw milk processing at the dairy factory11. Packaging and storage of milk products12. Waste management and disposal of manure and other waste</t>
  </si>
  <si>
    <t>permanent pasture producing Milk, cow, raw (FPCM) in Ireland. Additional description: A representative sample of Irish dairy farms.. Additional Context: Based on the provided information, the appropriate allocation method for the permanent pasture producing Milk, cow, raw (FPCM) in Ireland is:System expansion is not necessary in this case, as the production system is a simple, single-product system. Therefore, the answer is: "none required".</t>
  </si>
  <si>
    <t>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"none required". This is because system expansion is not necessary, as the production system is already a beef production system.</t>
  </si>
  <si>
    <t>animal housing producing Dairy cattle, calf in China. Additional Context: The product of the assessment is Dairy cattle.</t>
  </si>
  <si>
    <t>animal housing producing Dairy cattle, calf in China. Additional Context: The functional unit for the production system "animal housing producing Dairy cattle, calf in China" is 1 kg of live weight (LW) of cattle.</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</si>
  <si>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 Dairy cattle (lactating and dry cows, heifers, calves, and bulls)- Non-lactating animals (bulls for insemination and labor, female calves and heifers for replacement, male calves and young bulls for sale)- Feed production (fertilizers, pesticides, machinery, non-local feeds, and local feeds)- Irrigation, manure spreading, and seeding of pastures- Drinking water for cattle- Equipment (roads, irrigation infrastructure, buildings, and tools)- Ancillary inputs (fuels and electricity)- Carbon sequestration and biogenic carbon emissions of locally produced feeds (not considered due to vegetation cycles shorter than one year)- Pasture production (for grazing systems)- Crop production (for mixed farming systems)- Manure- Feed- Animal transport- Grazing systems (for grazing systems)- Mixed farming systems (communal grazing, crop residues, and crops)- Industrial systems (poultry production, pig production, ruminant feedlot meat production, and large-scale dairy production)- Manure (exported from AOD farms)- Feed supplier farms- Consolidators (for non-local feeds)- Pasture acreages</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</si>
  <si>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</si>
  <si>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t>
  </si>
  <si>
    <t>agri-food processor producing Caciotta in Southern Europe. Additional description: Processing and packaging cycle to transform milk into various dairy products.. Additional Context: The product being assessed is Caciotta, a type of Italian cheese.</t>
  </si>
  <si>
    <t>animal housing producing Layer chicken, pullet in Mexico. Additional description: Bird development phase (10 weeks). Additional Context: The functional unit for the production system of animal housing producing Layer chicken, pullet in Mexico is a kilogram of egg production.</t>
  </si>
  <si>
    <t>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"none required".</t>
  </si>
  <si>
    <t>animal housing producing Layer chicken, pullet in Mexico. Additional description: Bird development phase (10 weeks). What is in the system boundary? Additional Context: Here is a summary of the relevant life cycle assessment (LCA) information:**System Boundaries:*** The system includes all activities from the chicken farm to the slaughterhouse, including feed production, animal rearing, and packaging.* The system excludes activities outside the slaughterhouse, such as solid-stream processing and the production of capital goods and infrastructures.* The system boundaries include:	+ Chicken farm: production of feed, animal rearing, and production of bedding materials.	+ Slaughterhouse: production of broilers, processing, and packaging.+ Feed production: production of animal feed, including water treatment and wastewater management.	+ Packaging: production of packaging materials and their distribution to the slaughterhouse.**Excluded Activities:*** Solid-stream processing (e.g. processing of feathers, heads, and viscera).* Production of capital goods and infrastructures (e.g. machinery, buildings).* Animal drugs and the production of one-day-old chicks entering the breeder farms.* Composting of manure (although some manure is utilized as fertilizer).**Functional Unit:*** 1 kg Carcass Weight (CW) is used as the functional unit for the LCA assessment.**Inputs and Emissions:***</t>
  </si>
  <si>
    <t>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</si>
  <si>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 All processes from cradle to farm gate* All main production inputs:	+ Dairy herd (lactating and dry cows, heifers, calves, and bulls)	+ Local feeds (pasture, mineral salts, and non-local feeds)+ Fertilizers, pesticides, and machinery	+ Drinking water for cattle	+ Ancillary inputs (fuels, electricity, and seeds)* Excluded:	+ Equipment (roads, irrigation infrastructure, buildings, and tools)+ Medicines and seeds (due to lack of unit processes in LCA databases)	+ Carbon sequestration and biogenic carbon emissions of locally produced feeds (vegetation cycles shorter than one year)+ Land use change for on-farm feed production (no changes in land management practices)</t>
  </si>
  <si>
    <t>permanent pasture producing Beef cattle, heifer in United Kingdom. Additional description: High sugar and white clover pasture mix for sheep and cattle.. Additional Context: The functional unit for the permanent pasture producing Beef cattle, heifer in the United Kingdom is 1 kg of live weight (LW) of beef cattle.</t>
  </si>
  <si>
    <t>agri-food processor producing Cheese, cow in Italy. What is in the system boundary? Additional Context: The system boundary includes:1. Feed production on supplier farms2. Transport of animal feed and milk products3. Milk processing at the dairy factory4. Emissions from manure (raw or composted) until export5. Major building materials for farm and processing plant buildings6. Employee transport and corporate office operation7. Local milk production system (from cradle to farm gate)8. Dairy farm activities (animal feed production, milk production, and other inputs)9. Dairy factory activities (milk treatment, cheese production, and packaging)10. Waste treatment and disposal of packaging materials and sludge from WWTP11. Raw milk transport between dairy farm and dairy factory12. Emissions from livestock (CH4 and N20) and manure storage (NH3)13. Carbon sequestration and biogenic carbon emissions of locally produced feeds (not considered in this study)</t>
  </si>
  <si>
    <t>animal housing producing Pig in Netherlands. Additional description: Sow and piglets. Additional Context: For the animal housing production system producing pigs in the Netherlands, the appropriate allocation method is "none required" because system expansion is not necessary.</t>
  </si>
  <si>
    <t>animal housing producing Pig in Netherlands. Additional description: Sow and piglets. Additional Context: The functional unit for the animal housing producing Pig in Netherlands is 1 kg of live weight (LW) of pigs leaving the pig unit, including culled SOWS and slaughter pigs.</t>
  </si>
  <si>
    <t>animal housing producing Pig in Netherlands. Additional description: Sow and piglets. What is in the system boundary? Additional Context: The system boundary of this production system includes:1. Animal housing2. Sow and piglet production3. Feed production (from Portuguese feed producers to the farm gate, 400 km)4. Slurry management and application on agricultural lands5. Distribution of pig feed6. Slaughter of pigs7. Emissions from animal digestion, metabolic processes, and feed production8. Emissions from diesel use and transport activities9. Electricity production10. Water and soil management11. Organic waste management12. Heat production and treatment13. Premix and fish meal production14. Finishing phase15. WWTP (Wastewater Treatment Plant) emissions16. Emissions into air and water</t>
  </si>
  <si>
    <t>animal housing producing Milk, cow, raw (FPCM) in Spain. Additional description: Pasture-based milk cycle. What is in the system boundary? Additional Context: The system boundary of the animal housing producing milk production system in Spain includes:* Farm activities related to milk production* On-farm and off-farm feeds production* Water and energy resources* Purchase of feeds (concentrates, fodders, silages, cereals, proteic feeds)* Purchase of bedding materials (straw, corn stalks, sawdust)* Production of manure from animal breeding* Production of ancillary inputs such as fuels and electricity* Drinking water for the cattle* Farm infrastructure (roads, irrigation infrastructure, buildings, tools)* Non-local feeds with related production and transport processes* Carbon sequestration and biogenic carbon emissions of locally produced feeds (alfalfa and maize) are not considered due to vegetation cycles shorter than one year.The system does not include:* Equipment of the farms with specialized tools* Medicines and seeds* Emissions from land use change for the production of on-farm feeds* Emissions from land use change for purchased feed production* Emissions from land use change for soybeans in Brazil* Emissions from animal respiration and CO2 fixed by plants through photosynthesis* Employee transport and corporate office operation* Manure leaving the farm without</t>
  </si>
  <si>
    <t>animal housing producing Broiler chicken, hen in Thailand. Additional description: CB2-Parent farm 1. What is in the system boundary? Additional Context: Here is a summary of the relevant life cycle assessment (LCA) information:**System Boundaries:*** The system includes:	+ Animal housing (broiler chicken production)	+ Feed production	+ Vaccines and cleaning production	+ Slaughterhouse	+ Packaging process* Excluded from the system boundaries:	+ Solid-stream processing (outside the slaughterhouse)	+ Production of cleaning agents (outside the slaughterhouse)	+ Composting of manure (outside the system boundaries)	+ Production of animal drugs and chicks (outside the system boundaries)**Functional Unit:*** 1 kg Carcass Weight (CW) is used as the functional unit for the LCA assessment.**Life Cycle Stages:*** Upstream: Chick production and feed production* Downstream: Slaughterhouse, packaging, and distribution**Control Volumes:*** Distinct control volumes for the Grower (who owns and operates the houses) and the Integrator (who owns the birds and feed)* Combined control volume that encompasses the overall costs and life cycle impacts for the entire broiler production system.</t>
  </si>
  <si>
    <t>Context</t>
  </si>
  <si>
    <t>animal housing producing Pig, sow in Denmark. Additional description: Sows. What is in the system boundary?</t>
  </si>
  <si>
    <t>animal housing producing Pig, sow in Denmark. Additional description: Sows.</t>
  </si>
  <si>
    <t>permanent pasture producing Sheep, ewe in United Kingdom. Additional description: High sugar pasture for sheep and cattle..</t>
  </si>
  <si>
    <t>animal housing producing Milk, cow, raw (FPCM) in Denmark. Additional description: Conventional dairy. What is in the system boundary?</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</si>
  <si>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What is in the system boundary?</t>
  </si>
  <si>
    <t>permanent pasture producing Beef cattle, cow in Brazil. Additional description: Beef, fertilized Guinea grass (Panicum maximum cv. TanzÃ¢nia) pasture + 75-day finishing period in confinement (Scenario 5). What is in the system boundary?</t>
  </si>
  <si>
    <t>permanent pasture producing Beef cattle, cow in Brazil. Additional description: Beef, fertilized Guinea grass (Panicum maximum cv. TanzÃ¢nia) pasture + 75-day finishing period in confinement (Scenario 5).</t>
  </si>
  <si>
    <t>animal housing producing Beef cattle, calf (male, weaned) in United Kingdom. Additional description: Indoor cattle system..</t>
  </si>
  <si>
    <t>animal housing producing Eggs, hen, in shell (number) in Thailand. Additional description: CB8-Parent farm 5. What is in the system boundary?</t>
  </si>
  <si>
    <t>animal housing producing Dairy cattle, cow in Southern Europe. Additional description: Aggregate cycle representing all 75 dairy farms sampled.</t>
  </si>
  <si>
    <t xml:space="preserve"> producing Pig in Germany. What is in the system boundary?</t>
  </si>
  <si>
    <t>animal housing producing Layer chicken, pullet in Mexico. Additional description: Chick breeding (6 weeks).</t>
  </si>
  <si>
    <t>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t>
  </si>
  <si>
    <t>permanent pasture producing Beef cattle in Brazil. Additional description: Rerfence system where feeding is performed only by grazing anfd the supply of mineral supplementation..</t>
  </si>
  <si>
    <t>permanent pasture producing Beef cattle in Brazil. Additional description: Rerfence system where feeding is performed only by grazing anfd the supply of mineral supplementation.. What is in the system boundary?</t>
  </si>
  <si>
    <t>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t>
  </si>
  <si>
    <t>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t>
  </si>
  <si>
    <t>permanent pasture producing Milk, cow, raw in United Kingdom. Additional description: based on a stocking density of two 650kg dairy cows per hectare and includes an allowance for followers. inventory is based on cows being housed for 250 days and outdoors for 115 days.</t>
  </si>
  <si>
    <t>permanent pasture producing Sheep, ewe in United Kingdom. Additional description: High sugar and white clover pasture mix for sheep and cattle..</t>
  </si>
  <si>
    <t>animal housing producing Pig in Denmark. Additional description: Piglets.</t>
  </si>
  <si>
    <t>animal housing producing Pig in Denmark. Additional description: Piglets. What is in the system boundary?</t>
  </si>
  <si>
    <t>agri-food processor producing Meat, beef cattle (cold carcass weight) in Ireland.</t>
  </si>
  <si>
    <t>permanent pasture producing Sheep, ewe in United Kingdom. Additional description: Generic grass pasture for sheep and cattle..</t>
  </si>
  <si>
    <t>agri-food processor producing Ripened cheese in Spain. What is in the system boundary?</t>
  </si>
  <si>
    <t xml:space="preserve"> producing Broiler chicken in Russia. Additional description: Poultry production under the conditions of the central region in european Russia.</t>
  </si>
  <si>
    <t xml:space="preserve"> producing Broiler chicken in Russia. Additional description: Poultry production under the conditions of the central region in european Russia. What is in the system boundary?</t>
  </si>
  <si>
    <t>animal housing producing Eggs, hen, in shell in Netherlands. Additional description: Kipster-Laying hens scenario 3.</t>
  </si>
  <si>
    <t>permanent pasture producing Milk, cow, raw (FPCM) in Ireland. Additional description: A representative sample of Irish dairy farms.. What is in the system boundary?</t>
  </si>
  <si>
    <t>permanent pasture producing Milk, cow, raw (FPCM) in Ireland. Additional description: A representative sample of Irish dairy farms..</t>
  </si>
  <si>
    <t>permanent pasture producing Beef cattle, calf (male, weaned) in France. Additional description: Beef production - France - January/February.</t>
  </si>
  <si>
    <t>animal housing producing Dairy cattle, calf in China.</t>
  </si>
  <si>
    <t>animal housing producing Dairy cattle, calf in China. What is in the system boundary?</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</si>
  <si>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</si>
  <si>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t>
  </si>
  <si>
    <t>agri-food processor producing Caciotta in Southern Europe. Additional description: Processing and packaging cycle to transform milk into various dairy products..</t>
  </si>
  <si>
    <t>animal housing producing Layer chicken, pullet in Mexico. Additional description: Bird development phase (10 weeks).</t>
  </si>
  <si>
    <t>animal housing producing Layer chicken, pullet in Mexico. Additional description: Bird development phase (10 weeks). What is in the system boundary?</t>
  </si>
  <si>
    <t>permanent pasture producing Dairy cattle, cow in United Kingdom. Additional description: Annual production cycle of a grass-based UK dairy farm on a high sugar grass (HSG), increasingly used in UK livestock holdings..</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</si>
  <si>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t>
  </si>
  <si>
    <t>permanent pasture producing Beef cattle, heifer in United Kingdom. Additional description: High sugar and white clover pasture mix for sheep and cattle..</t>
  </si>
  <si>
    <t>animal housing producing Pig in Netherlands. Additional description: Sow and piglets.</t>
  </si>
  <si>
    <t>animal housing producing Pig in Netherlands. Additional description: Sow and piglets. What is in the system boundary?</t>
  </si>
  <si>
    <t>agri-food processor producing Meat, chicken (cold carcass weight) in Thailand. Additional description: Frozen processing factory.</t>
  </si>
  <si>
    <t>animal housing producing Milk, cow, raw (FPCM) in Spain. Additional description: Pasture-based milk cycle. What is in the system boundary?</t>
  </si>
  <si>
    <t>permanent pasture producing Beef cattle, calf (female, weaned) in United Kingdom. Additional description: Generic grass pasture for sheep and cattle.. What is in the system boundary? Additional Context: The system boundary of the production system includes:- Livestock (cattle, bulls, heifers, calves, and dry cows)- Local feeds (alfalfa and maize)- Fertilizers- Irrigation- Pesticides- Machinery (roads, irrigation infrastructure, buildings, and tools)- Fuels (diesel and electricity)- Water for livestock- Manure management- Pasture production- Crop production- Animal transport- Calf production- Fattening- Breeding- Feed production- Manure- Pasture recovery- Grazing- Supplements (mineral salts)- Farm infrastructure (corral, administration building, workers' housing)- Farm operations (fertilizer application, manure application, forage production)- Farm management (farm decisions, including animal selection, feeding, and breeding)- Farm endowments (prices, farm resources)- Farm activities (cash crop and dairy production)- Farm operations (livestock management, feed planning, and animal health)- Farm infrastructure (access road, ponds, creek)- Farm management practices (animal breeding, reproduction, and slaughter)- Farm operations (animal transport, slaughter, and processing)- Farm</t>
  </si>
  <si>
    <t>permanent pasture producing Sheep, ewe in United Kingdom. Additional description: Generic grass pasture for sheep and cattle.. Additional Context: The functional unit for the production system of permanent pasture producing sheep in the United Kingdom is one sheep.</t>
  </si>
  <si>
    <t>animal housing producing Sheep, ram in United Kingdom. Additional description: Indoor cattle system.. Additional Context: The functional unit for the animal housing producing Sheep, ram in United Kingdom is not explicitly stated. However, based on the context, it can be inferred that the functional unit is likely to be 1 kg of live weight (LW) of sheep, as this is a common functional unit used in agricultural life cycle assessments (LCAs) for livestock production systems.</t>
  </si>
  <si>
    <t>permanent pasture producing Beef cattle, heifer in United Kingdom. Additional description: High sugar pasture for sheep and cattle.. What is in the system boundary? Additional Context: The system boundary of the beef production system includes:* The whole dairy herd, including lactating and dry cows, heifers, calves, and bulls* Non-lactating animals of the dairy herd (bulls for insemination and labor, female calves and heifers for replacement, and male calves and young bulls for sale)* Production of local feeds, including fertilizers, irrigation, pesticides, and machinery* Production of ancillary inputs such as fuels and electricity* Drinking water for the cattle* The equipment of the farms with roads, irrigation infrastructure, buildings, and tools (excluding small-scale infrastructure)* The production of concentrates and by-products, such as molasses and manure* The breeding and fattening of cattle* The sale of calves, heifers, and young bulls* The production of grass silage and pasture* The grazing of cattle on permanent pasture* The use of manure as fertilizer* The production of electricity and diesel fuel for agricultural operations* The transportation of cattle to and from the farm* The sale of beef and other products.</t>
  </si>
  <si>
    <t>agri-food processor producing Ripened cheese in Italy. Additional description: Grana Padano cheese production. What is in the system boundary? Additional Context: The system boundary of the Parmigiano-Reggiano production system includes:1. Dairy farm (Subsystem 1: Concentrated feed production, Subsystem 2: Fodder production, and Subsystem 3: Milk production)2. Raw milk transport3. Cheese making4. Product transport5. Product transport6. Product and by-products7. Emissions to Air, Water, and SoilThe system excludes:1. Land use and soil quality changes2. Production of raw milk components (rennet, starter culture, calcium chloride, and saltpetre)3. Delivery of final products to wholesale and retailers4. Consumption phase of the different products</t>
  </si>
  <si>
    <t>animal housing producing Beef cattle, calf (female, weaned) in United Kingdom. Additional description: Indoor cattle system.. Additional Context: The functional unit for the animal housing producing Beef cattle, calf (female, weaned) in the United Kingdom is 1 kg of live weight (LW) of beef cattle.</t>
  </si>
  <si>
    <t>permanent pasture producing Sheep, lamb in United Kingdom. Additional description: High sugar and white clover pasture mix for sheep and cattle.. Additional Context: The functional unit for the permanent pasture producing sheep and lamb system in the United Kingdom is 1 animal (sheep).</t>
  </si>
  <si>
    <t>permanent pasture producing Dairy cattle, heifer in New Zealand. Additional description: Off-site replacement cow pasture grazing from weaned calf -&gt; 90% of mature weight (2mo -&gt; 22mo) (2017/18). Additional Context: The functional unit for the production system is 1 mature dairy cow.</t>
  </si>
  <si>
    <t>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 Dairy cattle- Heifers- Pasture (permanent pasture producing dairy cattle)- Off-site replacement cow pasture grazing (from weaned calf to 90% of mature weight, 2 months to 22 months)- Feed inputs: - Alfalfa - Grain premix - Other grass hays and silages- Farm inputs: - Fertilizers - Lime - Manure spreading - Irrigation - Seeding of pastures- Background processes: - Grazing - Silage production - Manure spreading - Diffuse emissions (N2O, CH4) from manure spread or deposited on pastures</t>
  </si>
  <si>
    <t>permanent pasture producing Beef cattle, heifer in United Kingdom. Additional description: High sugar pasture for sheep and cattle.. Additional Context: The functional unit for the permanent pasture producing Beef cattle, heifer in the United Kingdom is 1 kg of live weight (LW) of beef cattle.</t>
  </si>
  <si>
    <t>permanent pasture producing Sheep, ewe in United Kingdom. Additional description: Generic grass pasture for sheep and cattle.. What is in the system boundary? Additional Context: The system boundary includes:- On-farm production of sheep (including feed grown on the farm and imported to the farm)- Production of a range of crops- Stubble- Interrelationships between the sheep and cropping activities- Transport between processes (where explicitly shown)- Farm services- Off-farm inputs (e.g. fertiliser, pesticides, machinery)- Infrastructure (excluding construction and establishment)- Farm boundary</t>
  </si>
  <si>
    <t>permanent pasture producing Beef cattle, calf (male, weaned) in United Kingdom. Additional description: High sugar pasture for sheep and cattle.. What is in the system boundary? Additional Context: The system boundary includes:* The production of beef cattle* The production of calf (male, weaned)* High sugar pasture for sheep and cattle* The production of feed (not specified)* The production of fertilizers* The production of pesticides* The production of electricity and diesel fuel* The production of medicines and insecticides* The production of machinery and buildings* The production of roads* The transportation of feed, fertilizers, and other inputs* The grazing and management of cattle* The production of manure* The production of grass silage* The production of concentrates* The slaughter of cattle* The processing of beef* The transportation of beef to marketNote that the system boundary does not include:* The production of milk (as it is a separate system)* The production of dairy products (as it is a separate system)* The production of other crops (such as wheat, barley, etc.)* The production of other livestock (such as sheep, pigs, etc.)* The production of other agricultural products (such as fruits, vegetables, etc.)* The production of biofuels* The production of biogenic carbon emissions* The production of carbon sequestration</t>
  </si>
  <si>
    <t>permanent pasture producing Beef cattle, steer in United Kingdom. Additional description: Generic grass pasture for sheep and cattle.. What is in the system boundary? Additional Context: Here is a summary of the system boundary for the beef production system:* The system boundary includes:+ Farm operations (e.g. breeding, feeding, manure management)+ Feed production (e.g. grass, cereals, soy meal)+ Land use (e.g. pasture, grazing)+ Livestock production (e.g. cattle, sheep)+ Manure management+ Transportation of animals and feed+ Processing and slaughter of animals+ Energy and fuel use (e.g. diesel, electricity)+ Water use+ Fertilizer and pesticide use+ Crop production (e.g. grass, cereals)+ Farm infrastructure (e.g. buildings, roads)+ Off-farm processes (e.g. soybean production, mineral feed supplement production)The system boundary does not include:* Impacts from transport of bulls to the slaughterhouse* Impacts from processing of the meat* Carbon sequestration and biogenic carbon emissions of locally produced feeds* Medicines and seeds* Basic infrastructure (e.g. unpaved roads, unfortified irrigation channels)</t>
  </si>
  <si>
    <t>animal housing producing Electricity, produced on in site, solar PV. Additional description: Kipster-Laying hens scenario 1. What is in the system boundary? Additional Context: The system boundary includes:- Manure storage in the animal house- Anaerobic digestion- Storage and field application of digestate- Produced electricity and heat from biogas- Avoided production of fossil-based electricity, heat, and mineral fertilizer- Production of substitutes for initial use of the co-substrates- Transport between several life cycle stages- Cultivation of silage maize (as a co-substrate) and the displaced barley- Impacts related to production of capital goods</t>
  </si>
  <si>
    <t>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t>
  </si>
  <si>
    <t>animal housing producing Electricity, produced on in site, solar PV. Additional description: Kipster-Laying hens scenario 1. Additional Context: The functional unit for the Kipster-Laying hens scenario is 1 kg of live weight (LW) produced.</t>
  </si>
  <si>
    <t>agri-food processor producing Whey, liquid in Spain. What is in the system boundary? Additional Context: The system boundary of the agri-food processor producing Whey, liquid in Spain includes:* Production of feed on supplier farms* Agricultural activities (e.g. cultivation, harvesting, manure management)* Dairy farm (including milk production, pasteurization, homogenization, and packaging)* Dairy factory (including cooling, storage, and packaging)* Transport of animal feed and milk products* WWTP (wastewater treatment plant)* Emissions from manure and agricultural activities* Energy and water usage* Agricultural machinery and equipment* Farm buildings and infrastructure* Employee transport and corporate office operationThe following is excluded from the system boundary:* Delivery of final products to wholesale and retailers* Consumption phase of the different products* Production of capital goods (e.g. equipment, machinery)* Off-farm activities (e.g. transportation of raw materials, packaging, and distribution)</t>
  </si>
  <si>
    <t>agri-food processor producing Ripened cheese in Italy. What is in the system boundary? Additional Context: The system boundary of the production system includes:- Dairy farm- Dairy factory- Raw milk production- Concentrated feed production- Fodder production- Milk treatment- Coagulation and moulding- Salting and curing- Pressing- Packaging- Waste treatment- Emissions to: - Soil - Water - Air</t>
  </si>
  <si>
    <t>agri-food processor producing Ripened cheese in Italy. Additional Context: The functional unit for the agri-food processor producing Ripened cheese in Italy is 1 kg of Ripened cheese.</t>
  </si>
  <si>
    <t>permanent pasture producing Sheep, lamb in United Kingdom. Additional description: High sugar pasture for sheep and cattle.. Additional Context: The functional unit for the production system of permanent pasture producing Sheep, lamb in United Kingdom is 1 animal.</t>
  </si>
  <si>
    <t>agri-food processor producing Meat, pig (cold dressed carcass weight) in United Kingdom. Additional description: Slaughter England Conventional. Additional Context: The functional unit for the agri-food processor producing Meat, pig (cold dressed carcass weight) in the United Kingdom is 1 kg of meat (cold dressed carcass weight).</t>
  </si>
  <si>
    <t>permanent pasture producing Meat, beef cattle (liveweight) in Colombia. What is in the system boundary? Additional Context: Here is a summary of the relevant life cycle assessment (LCA) information:**System boundary**: The system boundary includes the production of beef cattle from birth to slaughter, from the farm to the point of transportation away from the farm gate.**Components included**:1. Feed production:* Grass silage* Cereals (e.g. spring barley, maize)* Soy meal* Minerals2. Fertilizer production3. Manure management4. Electricity and diesel fuel use5. Land use (pasture and grazing)**Exclusions**:1. Direct N2O emissions from cattle2. CO2 from enteric fermentation3. Emissions from production of medicines, insecticides, machines, buildings, and roads4. Emissions from transportation of feed and other inputs outside the system boundary**Allocation methods**:1. Energy allocation method based on energy contents of meat and milk produced2. Mass allocation method based on mass of meat and milk produced**System types**:1. Extensive (EXT) beef production system: small-scale, no fencing, cattle grazed in the same manner2. Intensive (INT) beef production system: three subsystems:</t>
  </si>
  <si>
    <t>animal housing producing Electricity, produced on in site, solar PV. Additional description: Kipster-Laying hens scenario 3. Additional Context: The product of the assessment is eggs.</t>
  </si>
  <si>
    <t>animal housing producing Electricity, produced on in site, solar PV. Additional description: Kipster-Laying hens scenario 3. Additional Context: The functional unit for the Kipster-Laying hens scenario is 1 kg of live weight (LW) produced.</t>
  </si>
  <si>
    <t>animal housing producing Electricity, produced on in site, solar PV. Additional description: Kipster-Laying hens scenario 3. What is in the system boundary? Additional Context: The system boundary includes:* Animal housing* Manure storage in the animal house* Anaerobic digestion* Storage and field application of digestate* Produced electricity and heat from biogas* Avoided production of fossil-based electricity, heat, and mineral fertilizer* Production of substitutes for initial use of the co-substrates* Transport between several life cycle stages* Cultivation of silage maize (as a co-substrate) and the displaced barley* Impacts related to production of capital goodsNote that pig production, veterinary medicines, cleaning products, post-production transport, processing, distribution, consumption, and waste disposal are excluded from the system boundary.</t>
  </si>
  <si>
    <t>permanent pasture producing Beef cattle, heifer in United Kingdom. Additional description: Generic grass pasture for sheep and cattle.. What is in the system boundary? Additional Context: The system boundary of the beef production system includes:* The whole dairy herd, including lactating and dry cows, heifers, calves, and bulls* Non-lactating animals of the dairy herd (bulls for insemination and labor, female calves and heifers for replacement, and male calves and young bulls for sale)* Production of local feeds, including fertilizers, irrigation, pesticides, and machinery* Production of ancillary inputs such as fuels and electricity* Drinking water for the cattle* The equipment of the farms with roads, irrigation infrastructure, buildings, and tools (excluding specialized tools)* The production of medicines and seeds (excluding due to lack of unit processes in LCA databases)* Carbon sequestration and biogenic carbon emissions of locally produced feeds (excluding due to vegetation cycles shorter than one year)* The fattening and cow-calf subsystems (for intensive beef production)* The breeding farm (for breeding and reproduction)* The pasture production (for grazing and forage)* The manure and feed production (for animal transport and feeding)* The fattening farm (for fattening and finishing)* The cow-calf subsystem (for backgrounding and raising)* The animal transport (for transportation of cattle to and</t>
  </si>
  <si>
    <t>animal housing producing Pig in Germany. Additional description: Fattening-FARM. Additional Context: The functional unit for the production system "animal housing producing Pig in Germany" is 100 kg live weight of pig at farm gate.</t>
  </si>
  <si>
    <t>animal housing producing Dairy cattle, cow in Southern Europe. Additional description: Aggregate cycle representing all 75 dairy farms sampled. Additional Context: The functional unit for the animal housing production system producing dairy cattle in Southern Europe is 1 cow.</t>
  </si>
  <si>
    <t xml:space="preserve"> producing Broiler chicken in France. Additional description: France standard system (Fr-ST). What is in the system boundary? Additional Context: The system boundary of the Broiler chicken production system in France (Fr-ST) includes:1. Crop production2. Feed production3. Slaughterhouse4. Packaging process5. TransportThe following processes are excluded from the system boundary:1. Production of cleaning agents2. Solid-stream processing (e.g. processing of feathers, heads, feet, and viscera)3. Production of vaccines4. Production of fungicides5. Production of phosphate</t>
  </si>
  <si>
    <t>permanent pasture producing Beef cattle, calf (female, weaned) in United Kingdom. Additional description: Generic grass pasture for sheep and cattle.. What is in the system boundary?</t>
  </si>
  <si>
    <t>permanent pasture producing Beef cattle, heifer in United Kingdom. Additional description: High sugar pasture for sheep and cattle.. What is in the system boundary?</t>
  </si>
  <si>
    <t>agri-food processor producing Ripened cheese in Italy. Additional description: Grana Padano cheese production. What is in the system boundary?</t>
  </si>
  <si>
    <t>animal housing producing Beef cattle, calf (female, weaned) in United Kingdom. Additional description: Indoor cattle system..</t>
  </si>
  <si>
    <t>permanent pasture producing Sheep, lamb in United Kingdom. Additional description: High sugar and white clover pasture mix for sheep and cattle..</t>
  </si>
  <si>
    <t>animal housing producing Broiler chicken, hen in Thailand. Additional description: CB1-Parent farm 1. What is in the system boundary?</t>
  </si>
  <si>
    <t>permanent pasture producing Dairy cattle, heifer in New Zealand. Additional description: Off-site replacement cow pasture grazing from weaned calf -&gt; 90% of mature weight (2mo -&gt; 22mo) (2017/18). What is in the system boundary?</t>
  </si>
  <si>
    <t>permanent pasture producing Dairy cattle, heifer in New Zealand. Additional description: Off-site replacement cow pasture grazing from weaned calf -&gt; 90% of mature weight (2mo -&gt; 22mo) (2017/18).</t>
  </si>
  <si>
    <t>permanent pasture producing Beef cattle, heifer in United Kingdom. Additional description: High sugar pasture for sheep and cattle..</t>
  </si>
  <si>
    <t>permanent pasture producing Sheep, ewe in United Kingdom. Additional description: Generic grass pasture for sheep and cattle.. What is in the system boundary?</t>
  </si>
  <si>
    <t>permanent pasture producing Beef cattle, calf (male, weaned) in United Kingdom. Additional description: High sugar pasture for sheep and cattle.. What is in the system boundary?</t>
  </si>
  <si>
    <t>permanent pasture producing Beef cattle, steer in United Kingdom. Additional description: Generic grass pasture for sheep and cattle.. What is in the system boundary?</t>
  </si>
  <si>
    <t>animal housing producing Electricity, produced on in site, solar PV. Additional description: Kipster-Laying hens scenario 1. What is in the system boundary?</t>
  </si>
  <si>
    <t>animal housing producing Electricity, produced on in site, solar PV. Additional description: Kipster-Laying hens scenario 1.</t>
  </si>
  <si>
    <t>agri-food processor producing Whey, liquid in Spain. What is in the system boundary?</t>
  </si>
  <si>
    <t>agri-food processor producing Ripened cheese in Italy. What is in the system boundary?</t>
  </si>
  <si>
    <t>agri-food processor producing Ripened cheese in Italy.</t>
  </si>
  <si>
    <t>permanent pasture producing Sheep, lamb in United Kingdom. Additional description: High sugar pasture for sheep and cattle..</t>
  </si>
  <si>
    <t>permanent pasture producing Meat, beef cattle (liveweight) in Colombia. What is in the system boundary?</t>
  </si>
  <si>
    <t>animal housing producing Electricity, produced on in site, solar PV. Additional description: Kipster-Laying hens scenario 3.</t>
  </si>
  <si>
    <t>animal housing producing Electricity, produced on in site, solar PV. Additional description: Kipster-Laying hens scenario 3. What is in the system boundary?</t>
  </si>
  <si>
    <t>permanent pasture producing Beef cattle, heifer in United Kingdom. Additional description: Generic grass pasture for sheep and cattle.. What is in the system boundary?</t>
  </si>
  <si>
    <t>animal housing producing Broiler chicken, hen in Thailand. Additional description: CB6-Parent farm 3. What is in the system boundary?</t>
  </si>
  <si>
    <t xml:space="preserve"> producing Broiler chicken in France. Additional description: France standard system (Fr-ST). What is in the system boundary?</t>
  </si>
  <si>
    <t>RAG Added Misinformation</t>
  </si>
  <si>
    <t>Humans only labeled FU as "relative". An actual FU should have been chosen.</t>
  </si>
  <si>
    <t>Discrepancy between cold carcass weight/head and liveweight/head</t>
  </si>
  <si>
    <t>In the system boundary, the authors of the study did not report an item the AI model wants to consider for completeness</t>
  </si>
  <si>
    <t>In the system boundary, the AI model does not want to report an item the authors of the study did report for completeness</t>
  </si>
  <si>
    <t>Difference between none and none required</t>
  </si>
  <si>
    <t>Biophysical vs. economic allocation</t>
  </si>
  <si>
    <t>Model predicts both economic and no allocation at the same time</t>
  </si>
  <si>
    <t>Human authors/labelers appear to have made a mistake</t>
  </si>
  <si>
    <t>Unclear why model predicts Fat and Protein Corrected Milk has an economic allocation instead of biophysical</t>
  </si>
  <si>
    <t>Model overpredicts economic allocation</t>
  </si>
  <si>
    <t>Model wants economic allocation when humans want none for pig production</t>
  </si>
  <si>
    <t>Model wants economic allocation when humans want none for chicken production</t>
  </si>
  <si>
    <t>In Allocation, confused none with none required</t>
  </si>
  <si>
    <t>In Allocation, chose economic when the humans chose a more specific label</t>
  </si>
  <si>
    <t>Notes (4, 5, 7, 9)</t>
  </si>
  <si>
    <t>RAG said that the method was none and none required, but the answer was only none</t>
  </si>
  <si>
    <t>RAG said biophysical when the answer was none required</t>
  </si>
  <si>
    <t>RAG said that allocation is not necessary because system is already representative of a specific agricultural production system</t>
  </si>
  <si>
    <t>RAG advocated for economic allocation</t>
  </si>
  <si>
    <t>Label occurs &gt;90% of the time in training samples</t>
  </si>
  <si>
    <t>Notes:</t>
  </si>
  <si>
    <t>Frequency of label occurences precedes other label choices</t>
  </si>
  <si>
    <t>System boundary had a lot of trouble with fresh forage</t>
  </si>
  <si>
    <t>Human labelers did not give a specific FU besides "relative", which is a binary with ha.</t>
  </si>
  <si>
    <t>Confused cold carcass weight with live weight</t>
  </si>
  <si>
    <t>Only included "relative" as a FU, which is less specific</t>
  </si>
  <si>
    <t>Milk processes are commonly encoded as % in Hestia, but not always.</t>
  </si>
  <si>
    <t>In FU, labeler only includes relative while AI model adds other categories</t>
  </si>
  <si>
    <t>In FU, AI model confuses cold carcass weight, cold dressed carcass weight, and liveweight</t>
  </si>
  <si>
    <t>Unclear why labeler included days</t>
  </si>
  <si>
    <t>% seems very wrong for meat production</t>
  </si>
  <si>
    <t>% is a common encoding for milk in HESTIA</t>
  </si>
  <si>
    <t>The reviewer noticed that classifying errors in FU was difficult with the given sentence description of the system was quite difficult.</t>
  </si>
  <si>
    <t>Unclear why days is included as a label</t>
  </si>
  <si>
    <t>% should be likely for cheese production</t>
  </si>
  <si>
    <t>Even though human labeler only includes relative, days seems more wrong than other FU</t>
  </si>
  <si>
    <t>Unclear why the study has the FU it does</t>
  </si>
  <si>
    <t>% seems very wrong for meat production. Also, despite the repeated mention of cold dressed carcass weight in prompt, does not appear in the encodings</t>
  </si>
  <si>
    <t>Fairly unclear why unitless is ever considered a functional unit</t>
  </si>
  <si>
    <t>kg liveweight/head is perfectly sound</t>
  </si>
  <si>
    <t>% is typically valid for cheese</t>
  </si>
  <si>
    <t>When producing electricity as product, kg liveweight seems incorrect</t>
  </si>
  <si>
    <t>FU is contained in product description</t>
  </si>
  <si>
    <t>Sometimes the labeler would put the FU in the product description and not the FU labels</t>
  </si>
  <si>
    <t>Unclear why days and % are switched</t>
  </si>
  <si>
    <t>Unclear why % is applied to hides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</si>
</sst>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7"/>
  <sheetViews>
    <sheetView tabSelected="1" topLeftCell="D1" workbookViewId="0">
      <selection activeCell="H278" sqref="H278"/>
    </sheetView>
  </sheetViews>
  <sheetFormatPr defaultRowHeight="15" x14ac:dyDescent="0.25"/>
  <cols>
    <col min="1" max="1" width="46.5703125" customWidth="1"/>
    <col min="2" max="2" width="29.85546875" style="1" customWidth="1"/>
    <col min="3" max="3" width="12.5703125" bestFit="1" customWidth="1"/>
    <col min="4" max="4" width="15.42578125" bestFit="1" customWidth="1"/>
    <col min="5" max="5" width="18.7109375" bestFit="1" customWidth="1"/>
    <col min="6" max="6" width="14.7109375" bestFit="1" customWidth="1"/>
    <col min="7" max="7" width="7" bestFit="1" customWidth="1"/>
    <col min="8" max="8" width="7.85546875" bestFit="1" customWidth="1"/>
    <col min="9" max="9" width="45.28515625" bestFit="1" customWidth="1"/>
  </cols>
  <sheetData>
    <row r="1" spans="1:10" x14ac:dyDescent="0.25">
      <c r="A1" s="1" t="s">
        <v>135</v>
      </c>
      <c r="B1" s="1" t="s">
        <v>0</v>
      </c>
      <c r="C1" t="s">
        <v>1</v>
      </c>
      <c r="D1" t="s">
        <v>2</v>
      </c>
      <c r="E1" t="s">
        <v>3</v>
      </c>
      <c r="F1" t="s">
        <v>4</v>
      </c>
      <c r="G1" t="s">
        <v>5</v>
      </c>
      <c r="H1" t="s">
        <v>81</v>
      </c>
      <c r="I1" t="s">
        <v>82</v>
      </c>
      <c r="J1" t="s">
        <v>248</v>
      </c>
    </row>
    <row r="2" spans="1:10" x14ac:dyDescent="0.25">
      <c r="A2" t="s">
        <v>117</v>
      </c>
      <c r="B2" t="s">
        <v>41</v>
      </c>
      <c r="C2">
        <v>0</v>
      </c>
      <c r="D2">
        <v>78</v>
      </c>
      <c r="E2" t="s">
        <v>42</v>
      </c>
      <c r="F2" t="s">
        <v>8</v>
      </c>
      <c r="G2" t="s">
        <v>57</v>
      </c>
      <c r="H2">
        <v>1.1000000000000001</v>
      </c>
      <c r="I2" t="str">
        <f>VLOOKUP(H2,'Encoding Errors'!$A$2:$B$16,2,FALSE)</f>
        <v>Label not in training data</v>
      </c>
    </row>
    <row r="3" spans="1:10" x14ac:dyDescent="0.25">
      <c r="A3" t="s">
        <v>120</v>
      </c>
      <c r="B3" t="s">
        <v>48</v>
      </c>
      <c r="C3">
        <v>0</v>
      </c>
      <c r="D3">
        <v>79</v>
      </c>
      <c r="E3" t="s">
        <v>42</v>
      </c>
      <c r="F3" t="s">
        <v>8</v>
      </c>
      <c r="G3" t="s">
        <v>57</v>
      </c>
      <c r="H3">
        <v>1.1000000000000001</v>
      </c>
      <c r="I3" t="str">
        <f>VLOOKUP(H3,'Encoding Errors'!$A$2:$B$16,2,FALSE)</f>
        <v>Label not in training data</v>
      </c>
    </row>
    <row r="4" spans="1:10" x14ac:dyDescent="0.25">
      <c r="A4" t="s">
        <v>120</v>
      </c>
      <c r="B4" t="s">
        <v>45</v>
      </c>
      <c r="C4">
        <v>0</v>
      </c>
      <c r="D4">
        <v>79</v>
      </c>
      <c r="E4" t="s">
        <v>42</v>
      </c>
      <c r="F4" t="s">
        <v>8</v>
      </c>
      <c r="G4" t="s">
        <v>57</v>
      </c>
      <c r="H4">
        <v>1.1000000000000001</v>
      </c>
      <c r="I4" t="str">
        <f>VLOOKUP(H4,'Encoding Errors'!$A$2:$B$16,2,FALSE)</f>
        <v>Label not in training data</v>
      </c>
    </row>
    <row r="5" spans="1:10" x14ac:dyDescent="0.25">
      <c r="A5" t="s">
        <v>122</v>
      </c>
      <c r="B5" t="s">
        <v>50</v>
      </c>
      <c r="C5">
        <v>0</v>
      </c>
      <c r="D5">
        <v>82</v>
      </c>
      <c r="E5" t="s">
        <v>42</v>
      </c>
      <c r="F5" t="s">
        <v>8</v>
      </c>
      <c r="G5" t="s">
        <v>57</v>
      </c>
      <c r="H5">
        <v>1.1000000000000001</v>
      </c>
      <c r="I5" t="str">
        <f>VLOOKUP(H5,'Encoding Errors'!$A$2:$B$16,2,FALSE)</f>
        <v>Label not in training data</v>
      </c>
    </row>
    <row r="6" spans="1:10" x14ac:dyDescent="0.25">
      <c r="A6" t="s">
        <v>122</v>
      </c>
      <c r="B6" t="s">
        <v>50</v>
      </c>
      <c r="C6">
        <v>0</v>
      </c>
      <c r="D6">
        <v>87</v>
      </c>
      <c r="E6" t="s">
        <v>42</v>
      </c>
      <c r="F6" t="s">
        <v>8</v>
      </c>
      <c r="G6" t="s">
        <v>57</v>
      </c>
      <c r="H6">
        <v>1.1000000000000001</v>
      </c>
      <c r="I6" t="str">
        <f>VLOOKUP(H6,'Encoding Errors'!$A$2:$B$16,2,FALSE)</f>
        <v>Label not in training data</v>
      </c>
    </row>
    <row r="7" spans="1:10" x14ac:dyDescent="0.25">
      <c r="A7" t="s">
        <v>194</v>
      </c>
      <c r="B7" t="s">
        <v>61</v>
      </c>
      <c r="C7">
        <v>0</v>
      </c>
      <c r="D7">
        <v>53</v>
      </c>
      <c r="E7" t="s">
        <v>42</v>
      </c>
      <c r="F7" t="s">
        <v>56</v>
      </c>
      <c r="G7" t="s">
        <v>57</v>
      </c>
      <c r="H7">
        <v>1.1000000000000001</v>
      </c>
      <c r="I7" t="str">
        <f>VLOOKUP(H7,'Encoding Errors'!$A$2:$B$16,2,FALSE)</f>
        <v>Label not in training data</v>
      </c>
    </row>
    <row r="8" spans="1:10" x14ac:dyDescent="0.25">
      <c r="A8" t="s">
        <v>194</v>
      </c>
      <c r="B8" t="s">
        <v>62</v>
      </c>
      <c r="C8">
        <v>0</v>
      </c>
      <c r="D8">
        <v>53</v>
      </c>
      <c r="E8" t="s">
        <v>42</v>
      </c>
      <c r="F8" t="s">
        <v>56</v>
      </c>
      <c r="G8" t="s">
        <v>57</v>
      </c>
      <c r="H8">
        <v>1.1000000000000001</v>
      </c>
      <c r="I8" t="str">
        <f>VLOOKUP(H8,'Encoding Errors'!$A$2:$B$16,2,FALSE)</f>
        <v>Label not in training data</v>
      </c>
    </row>
    <row r="9" spans="1:10" x14ac:dyDescent="0.25">
      <c r="A9" t="s">
        <v>202</v>
      </c>
      <c r="B9" t="s">
        <v>61</v>
      </c>
      <c r="C9">
        <v>0</v>
      </c>
      <c r="D9">
        <v>70</v>
      </c>
      <c r="E9" t="s">
        <v>42</v>
      </c>
      <c r="F9" t="s">
        <v>56</v>
      </c>
      <c r="G9" t="s">
        <v>57</v>
      </c>
      <c r="H9">
        <v>1.1000000000000001</v>
      </c>
      <c r="I9" t="str">
        <f>VLOOKUP(H9,'Encoding Errors'!$A$2:$B$16,2,FALSE)</f>
        <v>Label not in training data</v>
      </c>
    </row>
    <row r="10" spans="1:10" x14ac:dyDescent="0.25">
      <c r="A10" t="s">
        <v>202</v>
      </c>
      <c r="B10" t="s">
        <v>62</v>
      </c>
      <c r="C10">
        <v>0</v>
      </c>
      <c r="D10">
        <v>70</v>
      </c>
      <c r="E10" t="s">
        <v>42</v>
      </c>
      <c r="F10" t="s">
        <v>56</v>
      </c>
      <c r="G10" t="s">
        <v>57</v>
      </c>
      <c r="H10">
        <v>1.1000000000000001</v>
      </c>
      <c r="I10" t="str">
        <f>VLOOKUP(H10,'Encoding Errors'!$A$2:$B$16,2,FALSE)</f>
        <v>Label not in training data</v>
      </c>
    </row>
    <row r="11" spans="1:10" ht="30" x14ac:dyDescent="0.25">
      <c r="A11" s="1" t="s">
        <v>166</v>
      </c>
      <c r="B11" s="1" t="s">
        <v>41</v>
      </c>
      <c r="C11">
        <v>0</v>
      </c>
      <c r="D11">
        <v>78</v>
      </c>
      <c r="E11" t="s">
        <v>42</v>
      </c>
      <c r="F11" t="s">
        <v>8</v>
      </c>
      <c r="G11" t="s">
        <v>9</v>
      </c>
      <c r="H11">
        <v>1.1000000000000001</v>
      </c>
      <c r="I11" t="str">
        <f>VLOOKUP(H11,'Encoding Errors'!$A$2:$B$16,2,FALSE)</f>
        <v>Label not in training data</v>
      </c>
    </row>
    <row r="12" spans="1:10" ht="60" x14ac:dyDescent="0.25">
      <c r="A12" s="1" t="s">
        <v>168</v>
      </c>
      <c r="B12" s="1" t="s">
        <v>45</v>
      </c>
      <c r="C12">
        <v>0</v>
      </c>
      <c r="D12">
        <v>79</v>
      </c>
      <c r="E12" t="s">
        <v>42</v>
      </c>
      <c r="F12" t="s">
        <v>8</v>
      </c>
      <c r="G12" t="s">
        <v>9</v>
      </c>
      <c r="H12">
        <v>1.1000000000000001</v>
      </c>
      <c r="I12" t="str">
        <f>VLOOKUP(H12,'Encoding Errors'!$A$2:$B$16,2,FALSE)</f>
        <v>Label not in training data</v>
      </c>
    </row>
    <row r="13" spans="1:10" ht="60" x14ac:dyDescent="0.25">
      <c r="A13" s="1" t="s">
        <v>168</v>
      </c>
      <c r="B13" s="1" t="s">
        <v>48</v>
      </c>
      <c r="C13">
        <v>0</v>
      </c>
      <c r="D13">
        <v>79</v>
      </c>
      <c r="E13" t="s">
        <v>42</v>
      </c>
      <c r="F13" t="s">
        <v>8</v>
      </c>
      <c r="G13" t="s">
        <v>9</v>
      </c>
      <c r="H13">
        <v>1.1000000000000001</v>
      </c>
      <c r="I13" t="str">
        <f>VLOOKUP(H13,'Encoding Errors'!$A$2:$B$16,2,FALSE)</f>
        <v>Label not in training data</v>
      </c>
    </row>
    <row r="14" spans="1:10" ht="30" x14ac:dyDescent="0.25">
      <c r="A14" s="1" t="s">
        <v>170</v>
      </c>
      <c r="B14" s="1" t="s">
        <v>50</v>
      </c>
      <c r="C14">
        <v>0</v>
      </c>
      <c r="D14">
        <v>82</v>
      </c>
      <c r="E14" t="s">
        <v>42</v>
      </c>
      <c r="F14" t="s">
        <v>8</v>
      </c>
      <c r="G14" t="s">
        <v>9</v>
      </c>
      <c r="H14">
        <v>1.1000000000000001</v>
      </c>
      <c r="I14" t="str">
        <f>VLOOKUP(H14,'Encoding Errors'!$A$2:$B$16,2,FALSE)</f>
        <v>Label not in training data</v>
      </c>
    </row>
    <row r="15" spans="1:10" ht="30" x14ac:dyDescent="0.25">
      <c r="A15" s="1" t="s">
        <v>170</v>
      </c>
      <c r="B15" s="1" t="s">
        <v>50</v>
      </c>
      <c r="C15">
        <v>0</v>
      </c>
      <c r="D15">
        <v>87</v>
      </c>
      <c r="E15" t="s">
        <v>42</v>
      </c>
      <c r="F15" t="s">
        <v>8</v>
      </c>
      <c r="G15" t="s">
        <v>9</v>
      </c>
      <c r="H15">
        <v>1.1000000000000001</v>
      </c>
      <c r="I15" t="str">
        <f>VLOOKUP(H15,'Encoding Errors'!$A$2:$B$16,2,FALSE)</f>
        <v>Label not in training data</v>
      </c>
    </row>
    <row r="16" spans="1:10" ht="30" x14ac:dyDescent="0.25">
      <c r="A16" s="1" t="s">
        <v>222</v>
      </c>
      <c r="B16" s="1" t="s">
        <v>61</v>
      </c>
      <c r="C16">
        <v>0</v>
      </c>
      <c r="D16">
        <v>53</v>
      </c>
      <c r="E16" t="s">
        <v>42</v>
      </c>
      <c r="F16" t="s">
        <v>56</v>
      </c>
      <c r="G16" t="s">
        <v>9</v>
      </c>
      <c r="H16">
        <v>1.1000000000000001</v>
      </c>
      <c r="I16" t="str">
        <f>VLOOKUP(H16,'Encoding Errors'!$A$2:$B$16,2,FALSE)</f>
        <v>Label not in training data</v>
      </c>
    </row>
    <row r="17" spans="1:10" ht="30" x14ac:dyDescent="0.25">
      <c r="A17" s="1" t="s">
        <v>222</v>
      </c>
      <c r="B17" s="1" t="s">
        <v>62</v>
      </c>
      <c r="C17">
        <v>0</v>
      </c>
      <c r="D17">
        <v>53</v>
      </c>
      <c r="E17" t="s">
        <v>42</v>
      </c>
      <c r="F17" t="s">
        <v>56</v>
      </c>
      <c r="G17" t="s">
        <v>9</v>
      </c>
      <c r="H17">
        <v>1.1000000000000001</v>
      </c>
      <c r="I17" t="str">
        <f>VLOOKUP(H17,'Encoding Errors'!$A$2:$B$16,2,FALSE)</f>
        <v>Label not in training data</v>
      </c>
    </row>
    <row r="18" spans="1:10" ht="30" x14ac:dyDescent="0.25">
      <c r="A18" s="1" t="s">
        <v>228</v>
      </c>
      <c r="B18" s="1" t="s">
        <v>62</v>
      </c>
      <c r="C18">
        <v>0</v>
      </c>
      <c r="D18">
        <v>70</v>
      </c>
      <c r="E18" t="s">
        <v>42</v>
      </c>
      <c r="F18" t="s">
        <v>56</v>
      </c>
      <c r="G18" t="s">
        <v>9</v>
      </c>
      <c r="H18">
        <v>1.1000000000000001</v>
      </c>
      <c r="I18" t="str">
        <f>VLOOKUP(H18,'Encoding Errors'!$A$2:$B$16,2,FALSE)</f>
        <v>Label not in training data</v>
      </c>
    </row>
    <row r="19" spans="1:10" ht="30" x14ac:dyDescent="0.25">
      <c r="A19" s="1" t="s">
        <v>228</v>
      </c>
      <c r="B19" s="1" t="s">
        <v>61</v>
      </c>
      <c r="C19">
        <v>0</v>
      </c>
      <c r="D19">
        <v>70</v>
      </c>
      <c r="E19" t="s">
        <v>42</v>
      </c>
      <c r="F19" t="s">
        <v>56</v>
      </c>
      <c r="G19" t="s">
        <v>9</v>
      </c>
      <c r="H19">
        <v>1.1000000000000001</v>
      </c>
      <c r="I19" t="str">
        <f>VLOOKUP(H19,'Encoding Errors'!$A$2:$B$16,2,FALSE)</f>
        <v>Label not in training data</v>
      </c>
    </row>
    <row r="20" spans="1:10" ht="75" x14ac:dyDescent="0.25">
      <c r="A20" s="1" t="s">
        <v>116</v>
      </c>
      <c r="B20" t="s">
        <v>73</v>
      </c>
      <c r="C20">
        <v>0.240963855421686</v>
      </c>
      <c r="D20">
        <v>74</v>
      </c>
      <c r="E20" t="s">
        <v>21</v>
      </c>
      <c r="F20" t="s">
        <v>8</v>
      </c>
      <c r="G20" t="s">
        <v>57</v>
      </c>
      <c r="H20">
        <v>1.2</v>
      </c>
      <c r="I20" t="str">
        <f>VLOOKUP(H20,'Encoding Errors'!$A$2:$B$16,2,FALSE)</f>
        <v>Label occurs &lt;5% of the time in training samples</v>
      </c>
    </row>
    <row r="21" spans="1:10" x14ac:dyDescent="0.25">
      <c r="A21" t="s">
        <v>122</v>
      </c>
      <c r="B21" t="s">
        <v>49</v>
      </c>
      <c r="C21">
        <v>0.48192771084337299</v>
      </c>
      <c r="D21">
        <v>82</v>
      </c>
      <c r="E21" t="s">
        <v>42</v>
      </c>
      <c r="F21" t="s">
        <v>8</v>
      </c>
      <c r="G21" t="s">
        <v>57</v>
      </c>
      <c r="H21">
        <v>1.2</v>
      </c>
      <c r="I21" t="str">
        <f>VLOOKUP(H21,'Encoding Errors'!$A$2:$B$16,2,FALSE)</f>
        <v>Label occurs &lt;5% of the time in training samples</v>
      </c>
    </row>
    <row r="22" spans="1:10" x14ac:dyDescent="0.25">
      <c r="A22" t="s">
        <v>122</v>
      </c>
      <c r="B22" t="s">
        <v>49</v>
      </c>
      <c r="C22">
        <v>0.48192771084337299</v>
      </c>
      <c r="D22">
        <v>87</v>
      </c>
      <c r="E22" t="s">
        <v>42</v>
      </c>
      <c r="F22" t="s">
        <v>8</v>
      </c>
      <c r="G22" t="s">
        <v>57</v>
      </c>
      <c r="H22">
        <v>1.2</v>
      </c>
      <c r="I22" t="str">
        <f>VLOOKUP(H22,'Encoding Errors'!$A$2:$B$16,2,FALSE)</f>
        <v>Label occurs &lt;5% of the time in training samples</v>
      </c>
    </row>
    <row r="23" spans="1:10" ht="120" x14ac:dyDescent="0.25">
      <c r="A23" s="1" t="s">
        <v>97</v>
      </c>
      <c r="B23" t="s">
        <v>69</v>
      </c>
      <c r="C23">
        <v>0.48192771084337299</v>
      </c>
      <c r="D23">
        <v>48</v>
      </c>
      <c r="E23" t="s">
        <v>21</v>
      </c>
      <c r="F23" t="s">
        <v>8</v>
      </c>
      <c r="G23" t="s">
        <v>57</v>
      </c>
      <c r="H23">
        <v>1.2</v>
      </c>
      <c r="I23" t="str">
        <f>VLOOKUP(H23,'Encoding Errors'!$A$2:$B$16,2,FALSE)</f>
        <v>Label occurs &lt;5% of the time in training samples</v>
      </c>
    </row>
    <row r="24" spans="1:10" ht="30" x14ac:dyDescent="0.25">
      <c r="A24" s="1" t="s">
        <v>170</v>
      </c>
      <c r="B24" s="1" t="s">
        <v>49</v>
      </c>
      <c r="C24">
        <v>0.48192771084337299</v>
      </c>
      <c r="D24">
        <v>82</v>
      </c>
      <c r="E24" t="s">
        <v>42</v>
      </c>
      <c r="F24" t="s">
        <v>8</v>
      </c>
      <c r="G24" t="s">
        <v>9</v>
      </c>
      <c r="H24">
        <v>1.2</v>
      </c>
      <c r="I24" t="str">
        <f>VLOOKUP(H24,'Encoding Errors'!$A$2:$B$16,2,FALSE)</f>
        <v>Label occurs &lt;5% of the time in training samples</v>
      </c>
    </row>
    <row r="25" spans="1:10" ht="30" x14ac:dyDescent="0.25">
      <c r="A25" s="1" t="s">
        <v>170</v>
      </c>
      <c r="B25" s="1" t="s">
        <v>49</v>
      </c>
      <c r="C25">
        <v>0.48192771084337299</v>
      </c>
      <c r="D25">
        <v>87</v>
      </c>
      <c r="E25" t="s">
        <v>42</v>
      </c>
      <c r="F25" t="s">
        <v>8</v>
      </c>
      <c r="G25" t="s">
        <v>9</v>
      </c>
      <c r="H25">
        <v>1.2</v>
      </c>
      <c r="I25" t="str">
        <f>VLOOKUP(H25,'Encoding Errors'!$A$2:$B$16,2,FALSE)</f>
        <v>Label occurs &lt;5% of the time in training samples</v>
      </c>
    </row>
    <row r="26" spans="1:10" ht="30" x14ac:dyDescent="0.25">
      <c r="A26" t="s">
        <v>93</v>
      </c>
      <c r="B26" s="1" t="s">
        <v>68</v>
      </c>
      <c r="C26">
        <v>1.44578313253012</v>
      </c>
      <c r="D26">
        <v>40</v>
      </c>
      <c r="E26" t="s">
        <v>7</v>
      </c>
      <c r="F26" t="s">
        <v>8</v>
      </c>
      <c r="G26" t="s">
        <v>57</v>
      </c>
      <c r="H26">
        <v>1.2</v>
      </c>
      <c r="I26" t="str">
        <f>VLOOKUP(H26,'Encoding Errors'!$A$2:$B$16,2,FALSE)</f>
        <v>Label occurs &lt;5% of the time in training samples</v>
      </c>
    </row>
    <row r="27" spans="1:10" x14ac:dyDescent="0.25">
      <c r="A27" t="s">
        <v>117</v>
      </c>
      <c r="B27" t="s">
        <v>43</v>
      </c>
      <c r="C27">
        <v>1.6867469879518</v>
      </c>
      <c r="D27">
        <v>78</v>
      </c>
      <c r="E27" t="s">
        <v>42</v>
      </c>
      <c r="F27" t="s">
        <v>8</v>
      </c>
      <c r="G27" t="s">
        <v>57</v>
      </c>
      <c r="H27">
        <v>1.2</v>
      </c>
      <c r="I27" t="str">
        <f>VLOOKUP(H27,'Encoding Errors'!$A$2:$B$16,2,FALSE)</f>
        <v>Label occurs &lt;5% of the time in training samples</v>
      </c>
    </row>
    <row r="28" spans="1:10" x14ac:dyDescent="0.25">
      <c r="A28" t="s">
        <v>120</v>
      </c>
      <c r="B28" t="s">
        <v>43</v>
      </c>
      <c r="C28">
        <v>1.6867469879518</v>
      </c>
      <c r="D28">
        <v>79</v>
      </c>
      <c r="E28" t="s">
        <v>42</v>
      </c>
      <c r="F28" t="s">
        <v>8</v>
      </c>
      <c r="G28" t="s">
        <v>57</v>
      </c>
      <c r="H28">
        <v>1.2</v>
      </c>
      <c r="I28" t="str">
        <f>VLOOKUP(H28,'Encoding Errors'!$A$2:$B$16,2,FALSE)</f>
        <v>Label occurs &lt;5% of the time in training samples</v>
      </c>
    </row>
    <row r="29" spans="1:10" ht="30" x14ac:dyDescent="0.25">
      <c r="A29" s="1" t="s">
        <v>166</v>
      </c>
      <c r="B29" s="1" t="s">
        <v>43</v>
      </c>
      <c r="C29">
        <v>1.6867469879518</v>
      </c>
      <c r="D29">
        <v>78</v>
      </c>
      <c r="E29" t="s">
        <v>42</v>
      </c>
      <c r="F29" t="s">
        <v>8</v>
      </c>
      <c r="G29" t="s">
        <v>9</v>
      </c>
      <c r="H29">
        <v>1.2</v>
      </c>
      <c r="I29" t="str">
        <f>VLOOKUP(H29,'Encoding Errors'!$A$2:$B$16,2,FALSE)</f>
        <v>Label occurs &lt;5% of the time in training samples</v>
      </c>
    </row>
    <row r="30" spans="1:10" ht="30" x14ac:dyDescent="0.25">
      <c r="A30" s="1" t="s">
        <v>137</v>
      </c>
      <c r="B30" s="1" t="s">
        <v>10</v>
      </c>
      <c r="C30">
        <v>54.4578313253012</v>
      </c>
      <c r="D30">
        <v>0</v>
      </c>
      <c r="E30" t="s">
        <v>11</v>
      </c>
      <c r="F30" t="s">
        <v>8</v>
      </c>
      <c r="G30" t="s">
        <v>9</v>
      </c>
      <c r="H30">
        <v>8.1</v>
      </c>
      <c r="I30" t="str">
        <f>VLOOKUP(H30,'Encoding Errors'!$A$2:$B$16,2,FALSE)</f>
        <v>In FU, labeler only includes relative while AI model adds other categories</v>
      </c>
      <c r="J30" t="s">
        <v>234</v>
      </c>
    </row>
    <row r="31" spans="1:10" x14ac:dyDescent="0.25">
      <c r="A31" t="s">
        <v>120</v>
      </c>
      <c r="B31" t="s">
        <v>44</v>
      </c>
      <c r="C31">
        <v>2.6506024096385499</v>
      </c>
      <c r="D31">
        <v>79</v>
      </c>
      <c r="E31" t="s">
        <v>42</v>
      </c>
      <c r="F31" t="s">
        <v>8</v>
      </c>
      <c r="G31" t="s">
        <v>57</v>
      </c>
      <c r="H31">
        <v>1.2</v>
      </c>
      <c r="I31" t="str">
        <f>VLOOKUP(H31,'Encoding Errors'!$A$2:$B$16,2,FALSE)</f>
        <v>Label occurs &lt;5% of the time in training samples</v>
      </c>
    </row>
    <row r="32" spans="1:10" ht="60" x14ac:dyDescent="0.25">
      <c r="A32" s="1" t="s">
        <v>168</v>
      </c>
      <c r="B32" s="1" t="s">
        <v>44</v>
      </c>
      <c r="C32">
        <v>2.6506024096385499</v>
      </c>
      <c r="D32">
        <v>79</v>
      </c>
      <c r="E32" t="s">
        <v>42</v>
      </c>
      <c r="F32" t="s">
        <v>8</v>
      </c>
      <c r="G32" t="s">
        <v>9</v>
      </c>
      <c r="H32">
        <v>1.2</v>
      </c>
      <c r="I32" t="str">
        <f>VLOOKUP(H32,'Encoding Errors'!$A$2:$B$16,2,FALSE)</f>
        <v>Label occurs &lt;5% of the time in training samples</v>
      </c>
    </row>
    <row r="33" spans="1:10" ht="195" x14ac:dyDescent="0.25">
      <c r="A33" s="1" t="s">
        <v>96</v>
      </c>
      <c r="B33" t="s">
        <v>23</v>
      </c>
      <c r="C33">
        <v>3.13253012048192</v>
      </c>
      <c r="D33">
        <v>46</v>
      </c>
      <c r="E33" t="s">
        <v>21</v>
      </c>
      <c r="F33" t="s">
        <v>8</v>
      </c>
      <c r="G33" t="s">
        <v>57</v>
      </c>
      <c r="H33">
        <v>1.2</v>
      </c>
      <c r="I33" t="str">
        <f>VLOOKUP(H33,'Encoding Errors'!$A$2:$B$16,2,FALSE)</f>
        <v>Label occurs &lt;5% of the time in training samples</v>
      </c>
    </row>
    <row r="34" spans="1:10" x14ac:dyDescent="0.25">
      <c r="A34" t="s">
        <v>120</v>
      </c>
      <c r="B34" t="s">
        <v>47</v>
      </c>
      <c r="C34">
        <v>3.13253012048192</v>
      </c>
      <c r="D34">
        <v>79</v>
      </c>
      <c r="E34" t="s">
        <v>42</v>
      </c>
      <c r="F34" t="s">
        <v>8</v>
      </c>
      <c r="G34" t="s">
        <v>57</v>
      </c>
      <c r="H34">
        <v>1.2</v>
      </c>
      <c r="I34" t="str">
        <f>VLOOKUP(H34,'Encoding Errors'!$A$2:$B$16,2,FALSE)</f>
        <v>Label occurs &lt;5% of the time in training samples</v>
      </c>
    </row>
    <row r="35" spans="1:10" ht="150" x14ac:dyDescent="0.25">
      <c r="A35" s="1" t="s">
        <v>148</v>
      </c>
      <c r="B35" s="1" t="s">
        <v>23</v>
      </c>
      <c r="C35">
        <v>3.13253012048192</v>
      </c>
      <c r="D35">
        <v>46</v>
      </c>
      <c r="E35" t="s">
        <v>21</v>
      </c>
      <c r="F35" t="s">
        <v>8</v>
      </c>
      <c r="G35" t="s">
        <v>9</v>
      </c>
      <c r="H35">
        <v>1.2</v>
      </c>
      <c r="I35" t="str">
        <f>VLOOKUP(H35,'Encoding Errors'!$A$2:$B$16,2,FALSE)</f>
        <v>Label occurs &lt;5% of the time in training samples</v>
      </c>
    </row>
    <row r="36" spans="1:10" ht="90" x14ac:dyDescent="0.25">
      <c r="A36" s="1" t="s">
        <v>111</v>
      </c>
      <c r="B36" t="s">
        <v>72</v>
      </c>
      <c r="C36">
        <v>3.13253012048192</v>
      </c>
      <c r="D36">
        <v>68</v>
      </c>
      <c r="E36" t="s">
        <v>21</v>
      </c>
      <c r="F36" t="s">
        <v>8</v>
      </c>
      <c r="G36" t="s">
        <v>57</v>
      </c>
      <c r="H36">
        <v>1.2</v>
      </c>
      <c r="I36" t="str">
        <f>VLOOKUP(H36,'Encoding Errors'!$A$2:$B$16,2,FALSE)</f>
        <v>Label occurs &lt;5% of the time in training samples</v>
      </c>
    </row>
    <row r="37" spans="1:10" ht="30" x14ac:dyDescent="0.25">
      <c r="A37" s="1" t="s">
        <v>164</v>
      </c>
      <c r="B37" s="1" t="s">
        <v>23</v>
      </c>
      <c r="C37">
        <v>3.13253012048192</v>
      </c>
      <c r="D37">
        <v>73</v>
      </c>
      <c r="E37" t="s">
        <v>21</v>
      </c>
      <c r="F37" t="s">
        <v>8</v>
      </c>
      <c r="G37" t="s">
        <v>9</v>
      </c>
      <c r="H37">
        <v>1.2</v>
      </c>
      <c r="I37" t="str">
        <f>VLOOKUP(H37,'Encoding Errors'!$A$2:$B$16,2,FALSE)</f>
        <v>Label occurs &lt;5% of the time in training samples</v>
      </c>
    </row>
    <row r="38" spans="1:10" ht="60" x14ac:dyDescent="0.25">
      <c r="A38" s="1" t="s">
        <v>168</v>
      </c>
      <c r="B38" s="1" t="s">
        <v>47</v>
      </c>
      <c r="C38">
        <v>3.13253012048192</v>
      </c>
      <c r="D38">
        <v>79</v>
      </c>
      <c r="E38" t="s">
        <v>42</v>
      </c>
      <c r="F38" t="s">
        <v>8</v>
      </c>
      <c r="G38" t="s">
        <v>9</v>
      </c>
      <c r="H38">
        <v>1.2</v>
      </c>
      <c r="I38" t="str">
        <f>VLOOKUP(H38,'Encoding Errors'!$A$2:$B$16,2,FALSE)</f>
        <v>Label occurs &lt;5% of the time in training samples</v>
      </c>
    </row>
    <row r="39" spans="1:10" ht="90" x14ac:dyDescent="0.25">
      <c r="A39" s="1" t="s">
        <v>115</v>
      </c>
      <c r="B39" t="s">
        <v>23</v>
      </c>
      <c r="C39">
        <v>3.13253012048192</v>
      </c>
      <c r="D39">
        <v>73</v>
      </c>
      <c r="E39" t="s">
        <v>21</v>
      </c>
      <c r="F39" t="s">
        <v>8</v>
      </c>
      <c r="G39" t="s">
        <v>57</v>
      </c>
      <c r="H39">
        <v>1.2</v>
      </c>
      <c r="I39" t="str">
        <f>VLOOKUP(H39,'Encoding Errors'!$A$2:$B$16,2,FALSE)</f>
        <v>Label occurs &lt;5% of the time in training samples</v>
      </c>
    </row>
    <row r="40" spans="1:10" ht="150" x14ac:dyDescent="0.25">
      <c r="A40" s="1" t="s">
        <v>83</v>
      </c>
      <c r="B40" s="1" t="s">
        <v>10</v>
      </c>
      <c r="C40">
        <v>54.4578313253012</v>
      </c>
      <c r="D40">
        <v>0</v>
      </c>
      <c r="E40" t="s">
        <v>11</v>
      </c>
      <c r="F40" t="s">
        <v>8</v>
      </c>
      <c r="G40" t="s">
        <v>57</v>
      </c>
      <c r="H40">
        <v>8.1</v>
      </c>
      <c r="I40" t="str">
        <f>VLOOKUP(H40,'Encoding Errors'!$A$2:$B$16,2,FALSE)</f>
        <v>In FU, labeler only includes relative while AI model adds other categories</v>
      </c>
      <c r="J40" t="s">
        <v>257</v>
      </c>
    </row>
    <row r="41" spans="1:10" ht="135" x14ac:dyDescent="0.25">
      <c r="A41" s="1" t="s">
        <v>85</v>
      </c>
      <c r="B41" s="1" t="s">
        <v>12</v>
      </c>
      <c r="C41">
        <v>16.867469879518001</v>
      </c>
      <c r="D41">
        <v>17</v>
      </c>
      <c r="E41" t="s">
        <v>11</v>
      </c>
      <c r="F41" t="s">
        <v>8</v>
      </c>
      <c r="G41" t="s">
        <v>57</v>
      </c>
      <c r="H41">
        <v>8.1999999999999993</v>
      </c>
      <c r="I41" t="str">
        <f>VLOOKUP(H41,'Encoding Errors'!$A$2:$B$16,2,FALSE)</f>
        <v>In FU, AI model confuses cold carcass weight, cold dressed carcass weight, and liveweight</v>
      </c>
      <c r="J41" t="s">
        <v>258</v>
      </c>
    </row>
    <row r="42" spans="1:10" ht="30" x14ac:dyDescent="0.25">
      <c r="A42" s="1" t="s">
        <v>138</v>
      </c>
      <c r="B42" s="1" t="s">
        <v>12</v>
      </c>
      <c r="C42">
        <v>16.867469879518001</v>
      </c>
      <c r="D42">
        <v>17</v>
      </c>
      <c r="E42" t="s">
        <v>11</v>
      </c>
      <c r="F42" t="s">
        <v>8</v>
      </c>
      <c r="G42" t="s">
        <v>9</v>
      </c>
      <c r="H42">
        <v>8.1999999999999993</v>
      </c>
      <c r="I42" t="str">
        <f>VLOOKUP(H42,'Encoding Errors'!$A$2:$B$16,2,FALSE)</f>
        <v>In FU, AI model confuses cold carcass weight, cold dressed carcass weight, and liveweight</v>
      </c>
      <c r="J42" t="s">
        <v>235</v>
      </c>
    </row>
    <row r="43" spans="1:10" ht="45" x14ac:dyDescent="0.25">
      <c r="A43" s="1" t="s">
        <v>142</v>
      </c>
      <c r="B43" s="1" t="s">
        <v>17</v>
      </c>
      <c r="C43">
        <v>95.301204819277103</v>
      </c>
      <c r="D43">
        <v>23</v>
      </c>
      <c r="E43" t="s">
        <v>11</v>
      </c>
      <c r="F43" t="s">
        <v>8</v>
      </c>
      <c r="G43" t="s">
        <v>9</v>
      </c>
      <c r="H43">
        <v>1.4</v>
      </c>
      <c r="I43" t="str">
        <f>VLOOKUP(H43,'Encoding Errors'!$A$2:$B$16,2,FALSE)</f>
        <v>Label occurs &gt;90% of the time in training samples</v>
      </c>
    </row>
    <row r="44" spans="1:10" ht="30" x14ac:dyDescent="0.25">
      <c r="A44" t="s">
        <v>184</v>
      </c>
      <c r="B44" s="1" t="s">
        <v>58</v>
      </c>
      <c r="C44">
        <v>4.96815286624203</v>
      </c>
      <c r="D44">
        <v>15</v>
      </c>
      <c r="E44" t="s">
        <v>7</v>
      </c>
      <c r="F44" t="s">
        <v>56</v>
      </c>
      <c r="G44" t="s">
        <v>57</v>
      </c>
      <c r="H44">
        <v>1.2</v>
      </c>
      <c r="I44" t="str">
        <f>VLOOKUP(H44,'Encoding Errors'!$A$2:$B$16,2,FALSE)</f>
        <v>Label occurs &lt;5% of the time in training samples</v>
      </c>
    </row>
    <row r="45" spans="1:10" ht="30" x14ac:dyDescent="0.25">
      <c r="A45" t="s">
        <v>184</v>
      </c>
      <c r="B45" s="1" t="s">
        <v>58</v>
      </c>
      <c r="C45">
        <v>4.96815286624203</v>
      </c>
      <c r="D45">
        <v>20</v>
      </c>
      <c r="E45" t="s">
        <v>7</v>
      </c>
      <c r="F45" t="s">
        <v>56</v>
      </c>
      <c r="G45" t="s">
        <v>57</v>
      </c>
      <c r="H45">
        <v>1.2</v>
      </c>
      <c r="I45" t="str">
        <f>VLOOKUP(H45,'Encoding Errors'!$A$2:$B$16,2,FALSE)</f>
        <v>Label occurs &lt;5% of the time in training samples</v>
      </c>
    </row>
    <row r="46" spans="1:10" ht="30" x14ac:dyDescent="0.25">
      <c r="A46" s="1" t="s">
        <v>211</v>
      </c>
      <c r="B46" s="1" t="s">
        <v>58</v>
      </c>
      <c r="C46">
        <v>4.96815286624203</v>
      </c>
      <c r="D46">
        <v>15</v>
      </c>
      <c r="E46" t="s">
        <v>7</v>
      </c>
      <c r="F46" t="s">
        <v>56</v>
      </c>
      <c r="G46" t="s">
        <v>9</v>
      </c>
      <c r="H46">
        <v>1.2</v>
      </c>
      <c r="I46" t="str">
        <f>VLOOKUP(H46,'Encoding Errors'!$A$2:$B$16,2,FALSE)</f>
        <v>Label occurs &lt;5% of the time in training samples</v>
      </c>
    </row>
    <row r="47" spans="1:10" ht="30" x14ac:dyDescent="0.25">
      <c r="A47" s="1" t="s">
        <v>211</v>
      </c>
      <c r="B47" s="1" t="s">
        <v>58</v>
      </c>
      <c r="C47">
        <v>4.96815286624203</v>
      </c>
      <c r="D47">
        <v>20</v>
      </c>
      <c r="E47" t="s">
        <v>7</v>
      </c>
      <c r="F47" t="s">
        <v>56</v>
      </c>
      <c r="G47" t="s">
        <v>9</v>
      </c>
      <c r="H47">
        <v>1.2</v>
      </c>
      <c r="I47" t="str">
        <f>VLOOKUP(H47,'Encoding Errors'!$A$2:$B$16,2,FALSE)</f>
        <v>Label occurs &lt;5% of the time in training samples</v>
      </c>
    </row>
    <row r="48" spans="1:10" ht="45" x14ac:dyDescent="0.25">
      <c r="A48" s="1" t="s">
        <v>150</v>
      </c>
      <c r="B48" s="1" t="s">
        <v>27</v>
      </c>
      <c r="C48">
        <v>5.4216867469879499</v>
      </c>
      <c r="D48">
        <v>48</v>
      </c>
      <c r="E48" t="s">
        <v>7</v>
      </c>
      <c r="F48" t="s">
        <v>8</v>
      </c>
      <c r="G48" t="s">
        <v>9</v>
      </c>
      <c r="H48">
        <v>1.3</v>
      </c>
      <c r="I48" t="str">
        <f>VLOOKUP(H48,'Encoding Errors'!$A$2:$B$16,2,FALSE)</f>
        <v>Label occurs &lt;10% of the time in training samples</v>
      </c>
    </row>
    <row r="49" spans="1:9" ht="30" x14ac:dyDescent="0.25">
      <c r="A49" t="s">
        <v>99</v>
      </c>
      <c r="B49" s="1" t="s">
        <v>58</v>
      </c>
      <c r="C49">
        <v>5.4216867469879499</v>
      </c>
      <c r="D49">
        <v>53</v>
      </c>
      <c r="E49" t="s">
        <v>7</v>
      </c>
      <c r="F49" t="s">
        <v>8</v>
      </c>
      <c r="G49" t="s">
        <v>57</v>
      </c>
      <c r="H49">
        <v>1.3</v>
      </c>
      <c r="I49" t="str">
        <f>VLOOKUP(H49,'Encoding Errors'!$A$2:$B$16,2,FALSE)</f>
        <v>Label occurs &lt;10% of the time in training samples</v>
      </c>
    </row>
    <row r="50" spans="1:9" ht="30" x14ac:dyDescent="0.25">
      <c r="A50" t="s">
        <v>100</v>
      </c>
      <c r="B50" s="1" t="s">
        <v>27</v>
      </c>
      <c r="C50">
        <v>5.4216867469879499</v>
      </c>
      <c r="D50">
        <v>54</v>
      </c>
      <c r="E50" t="s">
        <v>7</v>
      </c>
      <c r="F50" t="s">
        <v>8</v>
      </c>
      <c r="G50" t="s">
        <v>57</v>
      </c>
      <c r="H50">
        <v>1.3</v>
      </c>
      <c r="I50" t="str">
        <f>VLOOKUP(H50,'Encoding Errors'!$A$2:$B$16,2,FALSE)</f>
        <v>Label occurs &lt;10% of the time in training samples</v>
      </c>
    </row>
    <row r="51" spans="1:9" ht="30" x14ac:dyDescent="0.25">
      <c r="A51" t="s">
        <v>119</v>
      </c>
      <c r="B51" s="1" t="s">
        <v>27</v>
      </c>
      <c r="C51">
        <v>5.4216867469879499</v>
      </c>
      <c r="D51">
        <v>79</v>
      </c>
      <c r="E51" t="s">
        <v>7</v>
      </c>
      <c r="F51" t="s">
        <v>8</v>
      </c>
      <c r="G51" t="s">
        <v>57</v>
      </c>
      <c r="H51">
        <v>1.3</v>
      </c>
      <c r="I51" t="str">
        <f>VLOOKUP(H51,'Encoding Errors'!$A$2:$B$16,2,FALSE)</f>
        <v>Label occurs &lt;10% of the time in training samples</v>
      </c>
    </row>
    <row r="52" spans="1:9" ht="60" x14ac:dyDescent="0.25">
      <c r="A52" s="1" t="s">
        <v>152</v>
      </c>
      <c r="B52" s="1" t="s">
        <v>27</v>
      </c>
      <c r="C52">
        <v>5.4216867469879499</v>
      </c>
      <c r="D52">
        <v>54</v>
      </c>
      <c r="E52" t="s">
        <v>7</v>
      </c>
      <c r="F52" t="s">
        <v>8</v>
      </c>
      <c r="G52" t="s">
        <v>9</v>
      </c>
      <c r="H52">
        <v>1.3</v>
      </c>
      <c r="I52" t="str">
        <f>VLOOKUP(H52,'Encoding Errors'!$A$2:$B$16,2,FALSE)</f>
        <v>Label occurs &lt;10% of the time in training samples</v>
      </c>
    </row>
    <row r="53" spans="1:9" ht="60" x14ac:dyDescent="0.25">
      <c r="A53" s="1" t="s">
        <v>169</v>
      </c>
      <c r="B53" s="1" t="s">
        <v>27</v>
      </c>
      <c r="C53">
        <v>5.4216867469879499</v>
      </c>
      <c r="D53">
        <v>79</v>
      </c>
      <c r="E53" t="s">
        <v>7</v>
      </c>
      <c r="F53" t="s">
        <v>8</v>
      </c>
      <c r="G53" t="s">
        <v>9</v>
      </c>
      <c r="H53">
        <v>1.3</v>
      </c>
      <c r="I53" t="str">
        <f>VLOOKUP(H53,'Encoding Errors'!$A$2:$B$16,2,FALSE)</f>
        <v>Label occurs &lt;10% of the time in training samples</v>
      </c>
    </row>
    <row r="54" spans="1:9" x14ac:dyDescent="0.25">
      <c r="A54" t="s">
        <v>194</v>
      </c>
      <c r="B54" t="s">
        <v>60</v>
      </c>
      <c r="C54">
        <v>6.6242038216560504</v>
      </c>
      <c r="D54">
        <v>53</v>
      </c>
      <c r="E54" t="s">
        <v>42</v>
      </c>
      <c r="F54" t="s">
        <v>56</v>
      </c>
      <c r="G54" t="s">
        <v>57</v>
      </c>
      <c r="H54">
        <v>1.3</v>
      </c>
      <c r="I54" t="str">
        <f>VLOOKUP(H54,'Encoding Errors'!$A$2:$B$16,2,FALSE)</f>
        <v>Label occurs &lt;10% of the time in training samples</v>
      </c>
    </row>
    <row r="55" spans="1:9" x14ac:dyDescent="0.25">
      <c r="A55" t="s">
        <v>202</v>
      </c>
      <c r="B55" t="s">
        <v>60</v>
      </c>
      <c r="C55">
        <v>6.6242038216560504</v>
      </c>
      <c r="D55">
        <v>70</v>
      </c>
      <c r="E55" t="s">
        <v>42</v>
      </c>
      <c r="F55" t="s">
        <v>56</v>
      </c>
      <c r="G55" t="s">
        <v>57</v>
      </c>
      <c r="H55">
        <v>1.3</v>
      </c>
      <c r="I55" t="str">
        <f>VLOOKUP(H55,'Encoding Errors'!$A$2:$B$16,2,FALSE)</f>
        <v>Label occurs &lt;10% of the time in training samples</v>
      </c>
    </row>
    <row r="56" spans="1:9" ht="45" x14ac:dyDescent="0.25">
      <c r="A56" s="1" t="s">
        <v>216</v>
      </c>
      <c r="B56" s="1" t="s">
        <v>65</v>
      </c>
      <c r="C56">
        <v>8.0254777070063703</v>
      </c>
      <c r="D56">
        <v>38</v>
      </c>
      <c r="E56" t="s">
        <v>42</v>
      </c>
      <c r="F56" t="s">
        <v>56</v>
      </c>
      <c r="G56" t="s">
        <v>9</v>
      </c>
      <c r="H56">
        <v>1.3</v>
      </c>
      <c r="I56" t="str">
        <f>VLOOKUP(H56,'Encoding Errors'!$A$2:$B$16,2,FALSE)</f>
        <v>Label occurs &lt;10% of the time in training samples</v>
      </c>
    </row>
    <row r="57" spans="1:9" ht="30" x14ac:dyDescent="0.25">
      <c r="A57" t="s">
        <v>104</v>
      </c>
      <c r="B57" s="1" t="s">
        <v>34</v>
      </c>
      <c r="C57">
        <v>8.19277108433735</v>
      </c>
      <c r="D57">
        <v>60</v>
      </c>
      <c r="E57" t="s">
        <v>7</v>
      </c>
      <c r="F57" t="s">
        <v>8</v>
      </c>
      <c r="G57" t="s">
        <v>57</v>
      </c>
      <c r="H57">
        <v>1.3</v>
      </c>
      <c r="I57" t="str">
        <f>VLOOKUP(H57,'Encoding Errors'!$A$2:$B$16,2,FALSE)</f>
        <v>Label occurs &lt;10% of the time in training samples</v>
      </c>
    </row>
    <row r="58" spans="1:9" ht="30" x14ac:dyDescent="0.25">
      <c r="A58" t="s">
        <v>108</v>
      </c>
      <c r="B58" s="1" t="s">
        <v>29</v>
      </c>
      <c r="C58">
        <v>8.19277108433735</v>
      </c>
      <c r="D58">
        <v>67</v>
      </c>
      <c r="E58" t="s">
        <v>7</v>
      </c>
      <c r="F58" t="s">
        <v>8</v>
      </c>
      <c r="G58" t="s">
        <v>57</v>
      </c>
      <c r="H58">
        <v>1.3</v>
      </c>
      <c r="I58" t="str">
        <f>VLOOKUP(H58,'Encoding Errors'!$A$2:$B$16,2,FALSE)</f>
        <v>Label occurs &lt;10% of the time in training samples</v>
      </c>
    </row>
    <row r="59" spans="1:9" ht="30" x14ac:dyDescent="0.25">
      <c r="A59" t="s">
        <v>129</v>
      </c>
      <c r="B59" s="1" t="s">
        <v>34</v>
      </c>
      <c r="C59">
        <v>8.19277108433735</v>
      </c>
      <c r="D59">
        <v>93</v>
      </c>
      <c r="E59" t="s">
        <v>7</v>
      </c>
      <c r="F59" t="s">
        <v>8</v>
      </c>
      <c r="G59" t="s">
        <v>57</v>
      </c>
      <c r="H59">
        <v>1.3</v>
      </c>
      <c r="I59" t="str">
        <f>VLOOKUP(H59,'Encoding Errors'!$A$2:$B$16,2,FALSE)</f>
        <v>Label occurs &lt;10% of the time in training samples</v>
      </c>
    </row>
    <row r="60" spans="1:9" ht="60" x14ac:dyDescent="0.25">
      <c r="A60" s="1" t="s">
        <v>151</v>
      </c>
      <c r="B60" s="1" t="s">
        <v>29</v>
      </c>
      <c r="C60">
        <v>8.19277108433735</v>
      </c>
      <c r="D60">
        <v>53</v>
      </c>
      <c r="E60" t="s">
        <v>7</v>
      </c>
      <c r="F60" t="s">
        <v>8</v>
      </c>
      <c r="G60" t="s">
        <v>9</v>
      </c>
      <c r="H60">
        <v>1.3</v>
      </c>
      <c r="I60" t="str">
        <f>VLOOKUP(H60,'Encoding Errors'!$A$2:$B$16,2,FALSE)</f>
        <v>Label occurs &lt;10% of the time in training samples</v>
      </c>
    </row>
    <row r="61" spans="1:9" ht="30" x14ac:dyDescent="0.25">
      <c r="A61" s="1" t="s">
        <v>156</v>
      </c>
      <c r="B61" s="1" t="s">
        <v>34</v>
      </c>
      <c r="C61">
        <v>8.19277108433735</v>
      </c>
      <c r="D61">
        <v>60</v>
      </c>
      <c r="E61" t="s">
        <v>7</v>
      </c>
      <c r="F61" t="s">
        <v>8</v>
      </c>
      <c r="G61" t="s">
        <v>9</v>
      </c>
      <c r="H61">
        <v>1.3</v>
      </c>
      <c r="I61" t="str">
        <f>VLOOKUP(H61,'Encoding Errors'!$A$2:$B$16,2,FALSE)</f>
        <v>Label occurs &lt;10% of the time in training samples</v>
      </c>
    </row>
    <row r="62" spans="1:9" ht="30" x14ac:dyDescent="0.25">
      <c r="A62" s="1" t="s">
        <v>159</v>
      </c>
      <c r="B62" s="1" t="s">
        <v>29</v>
      </c>
      <c r="C62">
        <v>8.19277108433735</v>
      </c>
      <c r="D62">
        <v>67</v>
      </c>
      <c r="E62" t="s">
        <v>7</v>
      </c>
      <c r="F62" t="s">
        <v>8</v>
      </c>
      <c r="G62" t="s">
        <v>9</v>
      </c>
      <c r="H62">
        <v>1.3</v>
      </c>
      <c r="I62" t="str">
        <f>VLOOKUP(H62,'Encoding Errors'!$A$2:$B$16,2,FALSE)</f>
        <v>Label occurs &lt;10% of the time in training samples</v>
      </c>
    </row>
    <row r="63" spans="1:9" ht="165" x14ac:dyDescent="0.25">
      <c r="A63" s="1" t="s">
        <v>87</v>
      </c>
      <c r="B63" t="s">
        <v>25</v>
      </c>
      <c r="C63">
        <v>8.6746987951807206</v>
      </c>
      <c r="D63">
        <v>22</v>
      </c>
      <c r="E63" t="s">
        <v>21</v>
      </c>
      <c r="F63" t="s">
        <v>8</v>
      </c>
      <c r="G63" t="s">
        <v>57</v>
      </c>
      <c r="H63">
        <v>1.3</v>
      </c>
      <c r="I63" t="str">
        <f>VLOOKUP(H63,'Encoding Errors'!$A$2:$B$16,2,FALSE)</f>
        <v>Label occurs &lt;10% of the time in training samples</v>
      </c>
    </row>
    <row r="64" spans="1:9" ht="30" x14ac:dyDescent="0.25">
      <c r="A64" s="1" t="s">
        <v>149</v>
      </c>
      <c r="B64" s="1" t="s">
        <v>25</v>
      </c>
      <c r="C64">
        <v>8.6746987951807206</v>
      </c>
      <c r="D64">
        <v>48</v>
      </c>
      <c r="E64" t="s">
        <v>21</v>
      </c>
      <c r="F64" t="s">
        <v>8</v>
      </c>
      <c r="G64" t="s">
        <v>9</v>
      </c>
      <c r="H64">
        <v>1.3</v>
      </c>
      <c r="I64" t="str">
        <f>VLOOKUP(H64,'Encoding Errors'!$A$2:$B$16,2,FALSE)</f>
        <v>Label occurs &lt;10% of the time in training samples</v>
      </c>
    </row>
    <row r="65" spans="1:10" ht="90" x14ac:dyDescent="0.25">
      <c r="A65" s="1" t="s">
        <v>111</v>
      </c>
      <c r="B65" t="s">
        <v>51</v>
      </c>
      <c r="C65">
        <v>8.6746987951807206</v>
      </c>
      <c r="D65">
        <v>68</v>
      </c>
      <c r="E65" t="s">
        <v>21</v>
      </c>
      <c r="F65" t="s">
        <v>8</v>
      </c>
      <c r="G65" t="s">
        <v>57</v>
      </c>
      <c r="H65">
        <v>1.3</v>
      </c>
      <c r="I65" t="str">
        <f>VLOOKUP(H65,'Encoding Errors'!$A$2:$B$16,2,FALSE)</f>
        <v>Label occurs &lt;10% of the time in training samples</v>
      </c>
    </row>
    <row r="66" spans="1:10" ht="30" x14ac:dyDescent="0.25">
      <c r="A66" s="1" t="s">
        <v>171</v>
      </c>
      <c r="B66" s="1" t="s">
        <v>51</v>
      </c>
      <c r="C66">
        <v>8.6746987951807206</v>
      </c>
      <c r="D66">
        <v>84</v>
      </c>
      <c r="E66" t="s">
        <v>21</v>
      </c>
      <c r="F66" t="s">
        <v>8</v>
      </c>
      <c r="G66" t="s">
        <v>9</v>
      </c>
      <c r="H66">
        <v>1.3</v>
      </c>
      <c r="I66" t="str">
        <f>VLOOKUP(H66,'Encoding Errors'!$A$2:$B$16,2,FALSE)</f>
        <v>Label occurs &lt;10% of the time in training samples</v>
      </c>
    </row>
    <row r="67" spans="1:10" ht="30" x14ac:dyDescent="0.25">
      <c r="A67" t="s">
        <v>193</v>
      </c>
      <c r="B67" s="1" t="s">
        <v>29</v>
      </c>
      <c r="C67">
        <v>8.9171974522292992</v>
      </c>
      <c r="D67">
        <v>53</v>
      </c>
      <c r="E67" t="s">
        <v>7</v>
      </c>
      <c r="F67" t="s">
        <v>56</v>
      </c>
      <c r="G67" t="s">
        <v>57</v>
      </c>
      <c r="H67">
        <v>1.3</v>
      </c>
      <c r="I67" t="str">
        <f>VLOOKUP(H67,'Encoding Errors'!$A$2:$B$16,2,FALSE)</f>
        <v>Label occurs &lt;10% of the time in training samples</v>
      </c>
    </row>
    <row r="68" spans="1:10" ht="30" x14ac:dyDescent="0.25">
      <c r="A68" t="s">
        <v>197</v>
      </c>
      <c r="B68" s="1" t="s">
        <v>34</v>
      </c>
      <c r="C68">
        <v>8.9171974522292992</v>
      </c>
      <c r="D68">
        <v>59</v>
      </c>
      <c r="E68" t="s">
        <v>7</v>
      </c>
      <c r="F68" t="s">
        <v>56</v>
      </c>
      <c r="G68" t="s">
        <v>57</v>
      </c>
      <c r="H68">
        <v>1.3</v>
      </c>
      <c r="I68" t="str">
        <f>VLOOKUP(H68,'Encoding Errors'!$A$2:$B$16,2,FALSE)</f>
        <v>Label occurs &lt;10% of the time in training samples</v>
      </c>
    </row>
    <row r="69" spans="1:10" ht="30" x14ac:dyDescent="0.25">
      <c r="A69" t="s">
        <v>204</v>
      </c>
      <c r="B69" s="1" t="s">
        <v>29</v>
      </c>
      <c r="C69">
        <v>8.9171974522292992</v>
      </c>
      <c r="D69">
        <v>70</v>
      </c>
      <c r="E69" t="s">
        <v>7</v>
      </c>
      <c r="F69" t="s">
        <v>56</v>
      </c>
      <c r="G69" t="s">
        <v>57</v>
      </c>
      <c r="H69">
        <v>1.3</v>
      </c>
      <c r="I69" t="str">
        <f>VLOOKUP(H69,'Encoding Errors'!$A$2:$B$16,2,FALSE)</f>
        <v>Label occurs &lt;10% of the time in training samples</v>
      </c>
    </row>
    <row r="70" spans="1:10" ht="30" x14ac:dyDescent="0.25">
      <c r="A70" t="s">
        <v>208</v>
      </c>
      <c r="B70" s="1" t="s">
        <v>29</v>
      </c>
      <c r="C70">
        <v>8.9171974522292992</v>
      </c>
      <c r="D70">
        <v>98</v>
      </c>
      <c r="E70" t="s">
        <v>7</v>
      </c>
      <c r="F70" t="s">
        <v>56</v>
      </c>
      <c r="G70" t="s">
        <v>57</v>
      </c>
      <c r="H70">
        <v>1.3</v>
      </c>
      <c r="I70" t="str">
        <f>VLOOKUP(H70,'Encoding Errors'!$A$2:$B$16,2,FALSE)</f>
        <v>Label occurs &lt;10% of the time in training samples</v>
      </c>
    </row>
    <row r="71" spans="1:10" ht="30" x14ac:dyDescent="0.25">
      <c r="A71" s="1" t="s">
        <v>223</v>
      </c>
      <c r="B71" s="1" t="s">
        <v>29</v>
      </c>
      <c r="C71">
        <v>8.9171974522292992</v>
      </c>
      <c r="D71">
        <v>58</v>
      </c>
      <c r="E71" t="s">
        <v>7</v>
      </c>
      <c r="F71" t="s">
        <v>56</v>
      </c>
      <c r="G71" t="s">
        <v>9</v>
      </c>
      <c r="H71">
        <v>1.3</v>
      </c>
      <c r="I71" t="str">
        <f>VLOOKUP(H71,'Encoding Errors'!$A$2:$B$16,2,FALSE)</f>
        <v>Label occurs &lt;10% of the time in training samples</v>
      </c>
    </row>
    <row r="72" spans="1:10" ht="30" x14ac:dyDescent="0.25">
      <c r="A72" s="1" t="s">
        <v>224</v>
      </c>
      <c r="B72" s="1" t="s">
        <v>34</v>
      </c>
      <c r="C72">
        <v>8.9171974522292992</v>
      </c>
      <c r="D72">
        <v>59</v>
      </c>
      <c r="E72" t="s">
        <v>7</v>
      </c>
      <c r="F72" t="s">
        <v>56</v>
      </c>
      <c r="G72" t="s">
        <v>9</v>
      </c>
      <c r="H72">
        <v>1.3</v>
      </c>
      <c r="I72" t="str">
        <f>VLOOKUP(H72,'Encoding Errors'!$A$2:$B$16,2,FALSE)</f>
        <v>Label occurs &lt;10% of the time in training samples</v>
      </c>
    </row>
    <row r="73" spans="1:10" ht="60" x14ac:dyDescent="0.25">
      <c r="A73" s="1" t="s">
        <v>143</v>
      </c>
      <c r="B73" s="1" t="s">
        <v>10</v>
      </c>
      <c r="C73">
        <v>54.4578313253012</v>
      </c>
      <c r="D73">
        <v>25</v>
      </c>
      <c r="E73" t="s">
        <v>11</v>
      </c>
      <c r="F73" t="s">
        <v>8</v>
      </c>
      <c r="G73" t="s">
        <v>9</v>
      </c>
      <c r="H73">
        <v>8.1</v>
      </c>
      <c r="I73" t="str">
        <f>VLOOKUP(H73,'Encoding Errors'!$A$2:$B$16,2,FALSE)</f>
        <v>In FU, labeler only includes relative while AI model adds other categories</v>
      </c>
    </row>
    <row r="74" spans="1:10" ht="150" x14ac:dyDescent="0.25">
      <c r="A74" s="1" t="s">
        <v>89</v>
      </c>
      <c r="B74" s="1" t="s">
        <v>19</v>
      </c>
      <c r="C74">
        <v>10</v>
      </c>
      <c r="D74">
        <v>23</v>
      </c>
      <c r="E74" t="s">
        <v>11</v>
      </c>
      <c r="F74" t="s">
        <v>8</v>
      </c>
      <c r="G74" t="s">
        <v>57</v>
      </c>
      <c r="H74">
        <v>4</v>
      </c>
      <c r="I74" t="str">
        <f>VLOOKUP(H74,'Encoding Errors'!$A$2:$B$16,2,FALSE)</f>
        <v>AI model likely incorrect</v>
      </c>
    </row>
    <row r="75" spans="1:10" ht="150" x14ac:dyDescent="0.25">
      <c r="A75" s="1" t="s">
        <v>89</v>
      </c>
      <c r="B75" s="1" t="s">
        <v>17</v>
      </c>
      <c r="C75">
        <v>95.301204819277103</v>
      </c>
      <c r="D75">
        <v>23</v>
      </c>
      <c r="E75" t="s">
        <v>11</v>
      </c>
      <c r="F75" t="s">
        <v>8</v>
      </c>
      <c r="G75" t="s">
        <v>57</v>
      </c>
      <c r="H75">
        <v>1.4</v>
      </c>
      <c r="I75" t="str">
        <f>VLOOKUP(H75,'Encoding Errors'!$A$2:$B$16,2,FALSE)</f>
        <v>Label occurs &gt;90% of the time in training samples</v>
      </c>
    </row>
    <row r="76" spans="1:10" ht="150" x14ac:dyDescent="0.25">
      <c r="A76" s="1" t="s">
        <v>90</v>
      </c>
      <c r="B76" s="1" t="s">
        <v>10</v>
      </c>
      <c r="C76">
        <v>54.4578313253012</v>
      </c>
      <c r="D76">
        <v>25</v>
      </c>
      <c r="E76" t="s">
        <v>11</v>
      </c>
      <c r="F76" t="s">
        <v>8</v>
      </c>
      <c r="G76" t="s">
        <v>57</v>
      </c>
      <c r="H76">
        <v>8.1</v>
      </c>
      <c r="I76" t="str">
        <f>VLOOKUP(H76,'Encoding Errors'!$A$2:$B$16,2,FALSE)</f>
        <v>In FU, labeler only includes relative while AI model adds other categories</v>
      </c>
      <c r="J76" t="s">
        <v>259</v>
      </c>
    </row>
    <row r="77" spans="1:10" ht="135" x14ac:dyDescent="0.25">
      <c r="A77" s="1" t="s">
        <v>85</v>
      </c>
      <c r="B77" s="1" t="s">
        <v>12</v>
      </c>
      <c r="C77">
        <v>16.867469879518001</v>
      </c>
      <c r="D77">
        <v>33</v>
      </c>
      <c r="E77" t="s">
        <v>11</v>
      </c>
      <c r="F77" t="s">
        <v>8</v>
      </c>
      <c r="G77" t="s">
        <v>57</v>
      </c>
      <c r="H77">
        <v>8.1999999999999993</v>
      </c>
      <c r="I77" t="str">
        <f>VLOOKUP(H77,'Encoding Errors'!$A$2:$B$16,2,FALSE)</f>
        <v>In FU, AI model confuses cold carcass weight, cold dressed carcass weight, and liveweight</v>
      </c>
      <c r="J77" t="s">
        <v>258</v>
      </c>
    </row>
    <row r="78" spans="1:10" ht="135" x14ac:dyDescent="0.25">
      <c r="A78" s="1" t="s">
        <v>94</v>
      </c>
      <c r="B78" s="1" t="s">
        <v>10</v>
      </c>
      <c r="C78">
        <v>54.4578313253012</v>
      </c>
      <c r="D78">
        <v>41</v>
      </c>
      <c r="E78" t="s">
        <v>11</v>
      </c>
      <c r="F78" t="s">
        <v>8</v>
      </c>
      <c r="G78" t="s">
        <v>57</v>
      </c>
      <c r="H78">
        <v>8.1</v>
      </c>
      <c r="I78" t="str">
        <f>VLOOKUP(H78,'Encoding Errors'!$A$2:$B$16,2,FALSE)</f>
        <v>In FU, labeler only includes relative while AI model adds other categories</v>
      </c>
    </row>
    <row r="79" spans="1:10" ht="180" x14ac:dyDescent="0.25">
      <c r="A79" s="1" t="s">
        <v>101</v>
      </c>
      <c r="B79" s="1" t="s">
        <v>31</v>
      </c>
      <c r="C79">
        <v>4.6987951807228896</v>
      </c>
      <c r="D79">
        <v>54</v>
      </c>
      <c r="E79" t="s">
        <v>11</v>
      </c>
      <c r="F79" t="s">
        <v>8</v>
      </c>
      <c r="G79" t="s">
        <v>57</v>
      </c>
      <c r="H79">
        <v>1.2</v>
      </c>
      <c r="I79" t="str">
        <f>VLOOKUP(H79,'Encoding Errors'!$A$2:$B$16,2,FALSE)</f>
        <v>Label occurs &lt;5% of the time in training samples</v>
      </c>
    </row>
    <row r="80" spans="1:10" ht="60" x14ac:dyDescent="0.25">
      <c r="A80" s="1" t="s">
        <v>145</v>
      </c>
      <c r="B80" s="1" t="s">
        <v>10</v>
      </c>
      <c r="C80">
        <v>54.4578313253012</v>
      </c>
      <c r="D80">
        <v>31</v>
      </c>
      <c r="E80" t="s">
        <v>11</v>
      </c>
      <c r="F80" t="s">
        <v>8</v>
      </c>
      <c r="G80" t="s">
        <v>9</v>
      </c>
      <c r="H80">
        <v>8.1</v>
      </c>
      <c r="I80" t="str">
        <f>VLOOKUP(H80,'Encoding Errors'!$A$2:$B$16,2,FALSE)</f>
        <v>In FU, labeler only includes relative while AI model adds other categories</v>
      </c>
    </row>
    <row r="81" spans="1:10" ht="60" x14ac:dyDescent="0.25">
      <c r="A81" s="1" t="s">
        <v>138</v>
      </c>
      <c r="B81" s="1" t="s">
        <v>12</v>
      </c>
      <c r="C81">
        <v>16.867469879518001</v>
      </c>
      <c r="D81">
        <v>33</v>
      </c>
      <c r="E81" t="s">
        <v>11</v>
      </c>
      <c r="F81" t="s">
        <v>8</v>
      </c>
      <c r="G81" t="s">
        <v>9</v>
      </c>
      <c r="H81">
        <v>8.1999999999999993</v>
      </c>
      <c r="I81" t="str">
        <f>VLOOKUP(H81,'Encoding Errors'!$A$2:$B$16,2,FALSE)</f>
        <v>In FU, AI model confuses cold carcass weight, cold dressed carcass weight, and liveweight</v>
      </c>
    </row>
    <row r="82" spans="1:10" ht="45" x14ac:dyDescent="0.25">
      <c r="A82" s="1" t="s">
        <v>147</v>
      </c>
      <c r="B82" s="1" t="s">
        <v>19</v>
      </c>
      <c r="C82">
        <v>10</v>
      </c>
      <c r="D82">
        <v>41</v>
      </c>
      <c r="E82" t="s">
        <v>11</v>
      </c>
      <c r="F82" t="s">
        <v>8</v>
      </c>
      <c r="G82" t="s">
        <v>9</v>
      </c>
      <c r="H82">
        <v>4</v>
      </c>
      <c r="I82" t="str">
        <f>VLOOKUP(H82,'Encoding Errors'!$A$2:$B$16,2,FALSE)</f>
        <v>AI model likely incorrect</v>
      </c>
    </row>
    <row r="83" spans="1:10" ht="90" x14ac:dyDescent="0.25">
      <c r="A83" s="1" t="s">
        <v>181</v>
      </c>
      <c r="B83" s="1" t="s">
        <v>54</v>
      </c>
      <c r="C83">
        <v>18.2165605095541</v>
      </c>
      <c r="D83">
        <v>5</v>
      </c>
      <c r="E83" t="s">
        <v>11</v>
      </c>
      <c r="F83" t="s">
        <v>56</v>
      </c>
      <c r="G83" t="s">
        <v>57</v>
      </c>
      <c r="H83">
        <v>8.1999999999999993</v>
      </c>
      <c r="I83" t="str">
        <f>VLOOKUP(H83,'Encoding Errors'!$A$2:$B$16,2,FALSE)</f>
        <v>In FU, AI model confuses cold carcass weight, cold dressed carcass weight, and liveweight</v>
      </c>
    </row>
    <row r="84" spans="1:10" ht="150" x14ac:dyDescent="0.25">
      <c r="A84" s="1" t="s">
        <v>182</v>
      </c>
      <c r="B84" s="1" t="s">
        <v>54</v>
      </c>
      <c r="C84">
        <v>18.2165605095541</v>
      </c>
      <c r="D84">
        <v>10</v>
      </c>
      <c r="E84" t="s">
        <v>11</v>
      </c>
      <c r="F84" t="s">
        <v>56</v>
      </c>
      <c r="G84" t="s">
        <v>57</v>
      </c>
      <c r="H84">
        <v>8.1</v>
      </c>
      <c r="I84" t="str">
        <f>VLOOKUP(H84,'Encoding Errors'!$A$2:$B$16,2,FALSE)</f>
        <v>In FU, labeler only includes relative while AI model adds other categories</v>
      </c>
    </row>
    <row r="85" spans="1:10" ht="150" x14ac:dyDescent="0.25">
      <c r="A85" s="1" t="s">
        <v>182</v>
      </c>
      <c r="B85" s="1" t="s">
        <v>10</v>
      </c>
      <c r="C85">
        <v>56.8152866242038</v>
      </c>
      <c r="D85">
        <v>10</v>
      </c>
      <c r="E85" t="s">
        <v>11</v>
      </c>
      <c r="F85" t="s">
        <v>56</v>
      </c>
      <c r="G85" t="s">
        <v>57</v>
      </c>
      <c r="H85">
        <v>8.1</v>
      </c>
      <c r="I85" t="str">
        <f>VLOOKUP(H85,'Encoding Errors'!$A$2:$B$16,2,FALSE)</f>
        <v>In FU, labeler only includes relative while AI model adds other categories</v>
      </c>
    </row>
    <row r="86" spans="1:10" ht="90" x14ac:dyDescent="0.25">
      <c r="A86" s="1" t="s">
        <v>107</v>
      </c>
      <c r="B86" s="1" t="s">
        <v>54</v>
      </c>
      <c r="C86">
        <v>18.2165605095541</v>
      </c>
      <c r="D86">
        <v>11</v>
      </c>
      <c r="E86" t="s">
        <v>11</v>
      </c>
      <c r="F86" t="s">
        <v>56</v>
      </c>
      <c r="G86" t="s">
        <v>57</v>
      </c>
      <c r="H86">
        <v>8.1999999999999993</v>
      </c>
      <c r="I86" t="str">
        <f>VLOOKUP(H86,'Encoding Errors'!$A$2:$B$16,2,FALSE)</f>
        <v>In FU, AI model confuses cold carcass weight, cold dressed carcass weight, and liveweight</v>
      </c>
    </row>
    <row r="87" spans="1:10" ht="60" x14ac:dyDescent="0.25">
      <c r="A87" s="1" t="s">
        <v>158</v>
      </c>
      <c r="B87" s="1" t="s">
        <v>10</v>
      </c>
      <c r="C87">
        <v>56.8152866242038</v>
      </c>
      <c r="D87">
        <v>18</v>
      </c>
      <c r="E87" t="s">
        <v>11</v>
      </c>
      <c r="F87" t="s">
        <v>56</v>
      </c>
      <c r="G87" t="s">
        <v>9</v>
      </c>
      <c r="H87">
        <v>8.1</v>
      </c>
      <c r="I87" t="str">
        <f>VLOOKUP(H87,'Encoding Errors'!$A$2:$B$16,2,FALSE)</f>
        <v>In FU, labeler only includes relative while AI model adds other categories</v>
      </c>
      <c r="J87" t="s">
        <v>272</v>
      </c>
    </row>
    <row r="88" spans="1:10" ht="90" x14ac:dyDescent="0.25">
      <c r="A88" s="1" t="s">
        <v>107</v>
      </c>
      <c r="B88" s="1" t="s">
        <v>54</v>
      </c>
      <c r="C88">
        <v>18.2165605095541</v>
      </c>
      <c r="D88">
        <v>18</v>
      </c>
      <c r="E88" t="s">
        <v>11</v>
      </c>
      <c r="F88" t="s">
        <v>56</v>
      </c>
      <c r="G88" t="s">
        <v>57</v>
      </c>
      <c r="H88">
        <v>8.1</v>
      </c>
      <c r="I88" t="str">
        <f>VLOOKUP(H88,'Encoding Errors'!$A$2:$B$16,2,FALSE)</f>
        <v>In FU, labeler only includes relative while AI model adds other categories</v>
      </c>
    </row>
    <row r="89" spans="1:10" ht="90" x14ac:dyDescent="0.25">
      <c r="A89" s="1" t="s">
        <v>107</v>
      </c>
      <c r="B89" s="1" t="s">
        <v>10</v>
      </c>
      <c r="C89">
        <v>56.8152866242038</v>
      </c>
      <c r="D89">
        <v>18</v>
      </c>
      <c r="E89" t="s">
        <v>11</v>
      </c>
      <c r="F89" t="s">
        <v>56</v>
      </c>
      <c r="G89" t="s">
        <v>57</v>
      </c>
      <c r="H89">
        <v>8.1</v>
      </c>
      <c r="I89" t="str">
        <f>VLOOKUP(H89,'Encoding Errors'!$A$2:$B$16,2,FALSE)</f>
        <v>In FU, labeler only includes relative while AI model adds other categories</v>
      </c>
    </row>
    <row r="90" spans="1:10" ht="60" x14ac:dyDescent="0.25">
      <c r="A90" s="1" t="s">
        <v>212</v>
      </c>
      <c r="B90" s="1" t="s">
        <v>10</v>
      </c>
      <c r="C90">
        <v>56.8152866242038</v>
      </c>
      <c r="D90">
        <v>31</v>
      </c>
      <c r="E90" t="s">
        <v>11</v>
      </c>
      <c r="F90" t="s">
        <v>56</v>
      </c>
      <c r="G90" t="s">
        <v>9</v>
      </c>
      <c r="H90">
        <v>8.1</v>
      </c>
      <c r="I90" t="str">
        <f>VLOOKUP(H90,'Encoding Errors'!$A$2:$B$16,2,FALSE)</f>
        <v>In FU, labeler only includes relative while AI model adds other categories</v>
      </c>
    </row>
    <row r="91" spans="1:10" ht="60" x14ac:dyDescent="0.25">
      <c r="A91" s="1" t="s">
        <v>147</v>
      </c>
      <c r="B91" s="1" t="s">
        <v>10</v>
      </c>
      <c r="C91">
        <v>54.4578313253012</v>
      </c>
      <c r="D91">
        <v>41</v>
      </c>
      <c r="E91" t="s">
        <v>11</v>
      </c>
      <c r="F91" t="s">
        <v>8</v>
      </c>
      <c r="G91" t="s">
        <v>9</v>
      </c>
      <c r="H91">
        <v>8.1</v>
      </c>
      <c r="I91" t="str">
        <f>VLOOKUP(H91,'Encoding Errors'!$A$2:$B$16,2,FALSE)</f>
        <v>In FU, labeler only includes relative while AI model adds other categories</v>
      </c>
    </row>
    <row r="92" spans="1:10" ht="180" x14ac:dyDescent="0.25">
      <c r="A92" s="1" t="s">
        <v>101</v>
      </c>
      <c r="B92" s="1" t="s">
        <v>32</v>
      </c>
      <c r="C92">
        <v>11.084337349397501</v>
      </c>
      <c r="D92">
        <v>54</v>
      </c>
      <c r="E92" t="s">
        <v>11</v>
      </c>
      <c r="F92" t="s">
        <v>8</v>
      </c>
      <c r="G92" t="s">
        <v>57</v>
      </c>
      <c r="H92">
        <v>5</v>
      </c>
      <c r="I92" t="str">
        <f>VLOOKUP(H92,'Encoding Errors'!$A$2:$B$16,2,FALSE)</f>
        <v>AI model has justifiable response</v>
      </c>
      <c r="J92" t="s">
        <v>260</v>
      </c>
    </row>
    <row r="93" spans="1:10" ht="180" x14ac:dyDescent="0.25">
      <c r="A93" s="1" t="s">
        <v>101</v>
      </c>
      <c r="B93" s="1" t="s">
        <v>17</v>
      </c>
      <c r="C93">
        <v>95.301204819277103</v>
      </c>
      <c r="D93">
        <v>54</v>
      </c>
      <c r="E93" t="s">
        <v>11</v>
      </c>
      <c r="F93" t="s">
        <v>8</v>
      </c>
      <c r="G93" t="s">
        <v>57</v>
      </c>
      <c r="H93">
        <v>1.4</v>
      </c>
      <c r="I93" t="str">
        <f>VLOOKUP(H93,'Encoding Errors'!$A$2:$B$16,2,FALSE)</f>
        <v>Label occurs &gt;90% of the time in training samples</v>
      </c>
    </row>
    <row r="94" spans="1:10" ht="135" x14ac:dyDescent="0.25">
      <c r="A94" s="1" t="s">
        <v>102</v>
      </c>
      <c r="B94" s="1" t="s">
        <v>54</v>
      </c>
      <c r="C94">
        <v>16.867469879518001</v>
      </c>
      <c r="D94">
        <v>55</v>
      </c>
      <c r="E94" t="s">
        <v>11</v>
      </c>
      <c r="F94" t="s">
        <v>8</v>
      </c>
      <c r="G94" t="s">
        <v>57</v>
      </c>
      <c r="H94">
        <v>8.1999999999999993</v>
      </c>
      <c r="I94" t="str">
        <f>VLOOKUP(H94,'Encoding Errors'!$A$2:$B$16,2,FALSE)</f>
        <v>In FU, AI model confuses cold carcass weight, cold dressed carcass weight, and liveweight</v>
      </c>
      <c r="J94" t="s">
        <v>258</v>
      </c>
    </row>
    <row r="95" spans="1:10" ht="135" x14ac:dyDescent="0.25">
      <c r="A95" s="1" t="s">
        <v>102</v>
      </c>
      <c r="B95" s="1" t="s">
        <v>54</v>
      </c>
      <c r="C95">
        <v>16.867469879518001</v>
      </c>
      <c r="D95">
        <v>58</v>
      </c>
      <c r="E95" t="s">
        <v>11</v>
      </c>
      <c r="F95" t="s">
        <v>8</v>
      </c>
      <c r="G95" t="s">
        <v>57</v>
      </c>
      <c r="H95">
        <v>8.1</v>
      </c>
      <c r="I95" t="str">
        <f>VLOOKUP(H95,'Encoding Errors'!$A$2:$B$16,2,FALSE)</f>
        <v>In FU, labeler only includes relative while AI model adds other categories</v>
      </c>
    </row>
    <row r="96" spans="1:10" ht="135" x14ac:dyDescent="0.25">
      <c r="A96" s="1" t="s">
        <v>102</v>
      </c>
      <c r="B96" s="1" t="s">
        <v>10</v>
      </c>
      <c r="C96">
        <v>54.4578313253012</v>
      </c>
      <c r="D96">
        <v>58</v>
      </c>
      <c r="E96" t="s">
        <v>11</v>
      </c>
      <c r="F96" t="s">
        <v>8</v>
      </c>
      <c r="G96" t="s">
        <v>57</v>
      </c>
      <c r="H96">
        <v>8.1</v>
      </c>
      <c r="I96" t="str">
        <f>VLOOKUP(H96,'Encoding Errors'!$A$2:$B$16,2,FALSE)</f>
        <v>In FU, labeler only includes relative while AI model adds other categories</v>
      </c>
    </row>
    <row r="97" spans="1:10" ht="60" x14ac:dyDescent="0.25">
      <c r="A97" s="1" t="s">
        <v>153</v>
      </c>
      <c r="B97" s="1" t="s">
        <v>31</v>
      </c>
      <c r="C97">
        <v>4.6987951807228896</v>
      </c>
      <c r="D97">
        <v>54</v>
      </c>
      <c r="E97" t="s">
        <v>11</v>
      </c>
      <c r="F97" t="s">
        <v>8</v>
      </c>
      <c r="G97" t="s">
        <v>9</v>
      </c>
      <c r="H97">
        <v>1.2</v>
      </c>
      <c r="I97" t="str">
        <f>VLOOKUP(H97,'Encoding Errors'!$A$2:$B$16,2,FALSE)</f>
        <v>Label occurs &lt;5% of the time in training samples</v>
      </c>
    </row>
    <row r="98" spans="1:10" ht="90" x14ac:dyDescent="0.25">
      <c r="A98" s="1" t="s">
        <v>153</v>
      </c>
      <c r="B98" s="1" t="s">
        <v>32</v>
      </c>
      <c r="C98">
        <v>11.084337349397501</v>
      </c>
      <c r="D98">
        <v>54</v>
      </c>
      <c r="E98" t="s">
        <v>11</v>
      </c>
      <c r="F98" t="s">
        <v>8</v>
      </c>
      <c r="G98" t="s">
        <v>9</v>
      </c>
      <c r="H98">
        <v>5</v>
      </c>
      <c r="I98" t="str">
        <f>VLOOKUP(H98,'Encoding Errors'!$A$2:$B$16,2,FALSE)</f>
        <v>AI model has justifiable response</v>
      </c>
      <c r="J98" t="s">
        <v>265</v>
      </c>
    </row>
    <row r="99" spans="1:10" ht="60" x14ac:dyDescent="0.25">
      <c r="A99" s="1" t="s">
        <v>153</v>
      </c>
      <c r="B99" s="1" t="s">
        <v>17</v>
      </c>
      <c r="C99">
        <v>95.301204819277103</v>
      </c>
      <c r="D99">
        <v>54</v>
      </c>
      <c r="E99" t="s">
        <v>11</v>
      </c>
      <c r="F99" t="s">
        <v>8</v>
      </c>
      <c r="G99" t="s">
        <v>9</v>
      </c>
      <c r="H99">
        <v>1.4</v>
      </c>
      <c r="I99" t="str">
        <f>VLOOKUP(H99,'Encoding Errors'!$A$2:$B$16,2,FALSE)</f>
        <v>Label occurs &gt;90% of the time in training samples</v>
      </c>
    </row>
    <row r="100" spans="1:10" ht="60" x14ac:dyDescent="0.25">
      <c r="A100" s="1" t="s">
        <v>154</v>
      </c>
      <c r="B100" s="1" t="s">
        <v>10</v>
      </c>
      <c r="C100">
        <v>54.4578313253012</v>
      </c>
      <c r="D100">
        <v>58</v>
      </c>
      <c r="E100" t="s">
        <v>11</v>
      </c>
      <c r="F100" t="s">
        <v>8</v>
      </c>
      <c r="G100" t="s">
        <v>9</v>
      </c>
      <c r="H100">
        <v>8.1</v>
      </c>
      <c r="I100" t="str">
        <f>VLOOKUP(H100,'Encoding Errors'!$A$2:$B$16,2,FALSE)</f>
        <v>In FU, labeler only includes relative while AI model adds other categories</v>
      </c>
    </row>
    <row r="101" spans="1:10" ht="180" x14ac:dyDescent="0.25">
      <c r="A101" s="1" t="s">
        <v>120</v>
      </c>
      <c r="B101" t="s">
        <v>46</v>
      </c>
      <c r="C101">
        <v>13.6144578313253</v>
      </c>
      <c r="D101">
        <v>79</v>
      </c>
      <c r="E101" t="s">
        <v>42</v>
      </c>
      <c r="F101" t="s">
        <v>8</v>
      </c>
      <c r="G101" t="s">
        <v>57</v>
      </c>
      <c r="H101">
        <v>4</v>
      </c>
      <c r="I101" t="str">
        <f>VLOOKUP(H101,'Encoding Errors'!$A$2:$B$16,2,FALSE)</f>
        <v>AI model likely incorrect</v>
      </c>
    </row>
    <row r="102" spans="1:10" ht="135" x14ac:dyDescent="0.25">
      <c r="A102" s="1" t="s">
        <v>168</v>
      </c>
      <c r="B102" s="1" t="s">
        <v>46</v>
      </c>
      <c r="C102">
        <v>13.6144578313253</v>
      </c>
      <c r="D102">
        <v>79</v>
      </c>
      <c r="E102" t="s">
        <v>42</v>
      </c>
      <c r="F102" t="s">
        <v>8</v>
      </c>
      <c r="G102" t="s">
        <v>9</v>
      </c>
      <c r="H102">
        <v>4</v>
      </c>
      <c r="I102" t="str">
        <f>VLOOKUP(H102,'Encoding Errors'!$A$2:$B$16,2,FALSE)</f>
        <v>AI model likely incorrect</v>
      </c>
    </row>
    <row r="103" spans="1:10" ht="60" x14ac:dyDescent="0.25">
      <c r="A103" s="1" t="s">
        <v>95</v>
      </c>
      <c r="B103" t="s">
        <v>20</v>
      </c>
      <c r="C103">
        <v>13.975903614457801</v>
      </c>
      <c r="D103">
        <v>41</v>
      </c>
      <c r="E103" t="s">
        <v>21</v>
      </c>
      <c r="F103" t="s">
        <v>8</v>
      </c>
      <c r="G103" t="s">
        <v>57</v>
      </c>
      <c r="H103">
        <v>7</v>
      </c>
      <c r="I103" t="str">
        <f>VLOOKUP(H103,'Encoding Errors'!$A$2:$B$16,2,FALSE)</f>
        <v>RAG Added Misinformation</v>
      </c>
      <c r="J103" t="s">
        <v>249</v>
      </c>
    </row>
    <row r="104" spans="1:10" ht="30" x14ac:dyDescent="0.25">
      <c r="A104" s="1" t="s">
        <v>147</v>
      </c>
      <c r="B104" s="1" t="s">
        <v>20</v>
      </c>
      <c r="C104">
        <v>13.975903614457801</v>
      </c>
      <c r="D104">
        <v>41</v>
      </c>
      <c r="E104" t="s">
        <v>21</v>
      </c>
      <c r="F104" t="s">
        <v>8</v>
      </c>
      <c r="G104" t="s">
        <v>9</v>
      </c>
      <c r="H104">
        <v>2.1</v>
      </c>
      <c r="I104" t="str">
        <f>VLOOKUP(H104,'Encoding Errors'!$A$2:$B$16,2,FALSE)</f>
        <v>In Allocation, confused none with none required</v>
      </c>
      <c r="J104" t="s">
        <v>238</v>
      </c>
    </row>
    <row r="105" spans="1:10" ht="30" x14ac:dyDescent="0.25">
      <c r="A105" s="1" t="s">
        <v>149</v>
      </c>
      <c r="B105" s="1" t="s">
        <v>24</v>
      </c>
      <c r="C105">
        <v>13.975903614457801</v>
      </c>
      <c r="D105">
        <v>48</v>
      </c>
      <c r="E105" t="s">
        <v>21</v>
      </c>
      <c r="F105" t="s">
        <v>8</v>
      </c>
      <c r="G105" t="s">
        <v>9</v>
      </c>
      <c r="H105">
        <v>2.1</v>
      </c>
      <c r="I105" t="str">
        <f>VLOOKUP(H105,'Encoding Errors'!$A$2:$B$16,2,FALSE)</f>
        <v>In Allocation, confused none with none required</v>
      </c>
      <c r="J105" t="s">
        <v>238</v>
      </c>
    </row>
    <row r="106" spans="1:10" ht="120" x14ac:dyDescent="0.25">
      <c r="A106" s="1" t="s">
        <v>97</v>
      </c>
      <c r="B106" t="s">
        <v>24</v>
      </c>
      <c r="C106">
        <v>13.975903614457801</v>
      </c>
      <c r="D106">
        <v>48</v>
      </c>
      <c r="E106" t="s">
        <v>21</v>
      </c>
      <c r="F106" t="s">
        <v>8</v>
      </c>
      <c r="G106" t="s">
        <v>57</v>
      </c>
      <c r="H106">
        <v>7</v>
      </c>
      <c r="I106" t="str">
        <f>VLOOKUP(H106,'Encoding Errors'!$A$2:$B$16,2,FALSE)</f>
        <v>RAG Added Misinformation</v>
      </c>
      <c r="J106" t="s">
        <v>250</v>
      </c>
    </row>
    <row r="107" spans="1:10" ht="30" x14ac:dyDescent="0.25">
      <c r="A107" s="1" t="s">
        <v>155</v>
      </c>
      <c r="B107" s="1" t="s">
        <v>24</v>
      </c>
      <c r="C107">
        <v>13.975903614457801</v>
      </c>
      <c r="D107">
        <v>60</v>
      </c>
      <c r="E107" t="s">
        <v>21</v>
      </c>
      <c r="F107" t="s">
        <v>8</v>
      </c>
      <c r="G107" t="s">
        <v>9</v>
      </c>
      <c r="H107">
        <v>2.2000000000000002</v>
      </c>
      <c r="I107" t="str">
        <f>VLOOKUP(H107,'Encoding Errors'!$A$2:$B$16,2,FALSE)</f>
        <v>In Allocation, chose economic when the humans chose a more specific label</v>
      </c>
      <c r="J107" t="s">
        <v>244</v>
      </c>
    </row>
    <row r="108" spans="1:10" ht="30" x14ac:dyDescent="0.25">
      <c r="A108" s="1" t="s">
        <v>171</v>
      </c>
      <c r="B108" s="1" t="s">
        <v>20</v>
      </c>
      <c r="C108">
        <v>13.975903614457801</v>
      </c>
      <c r="D108">
        <v>84</v>
      </c>
      <c r="E108" t="s">
        <v>21</v>
      </c>
      <c r="F108" t="s">
        <v>8</v>
      </c>
      <c r="G108" t="s">
        <v>9</v>
      </c>
      <c r="H108">
        <v>2.1</v>
      </c>
      <c r="I108" t="str">
        <f>VLOOKUP(H108,'Encoding Errors'!$A$2:$B$16,2,FALSE)</f>
        <v>In Allocation, confused none with none required</v>
      </c>
      <c r="J108" t="s">
        <v>238</v>
      </c>
    </row>
    <row r="109" spans="1:10" ht="30" x14ac:dyDescent="0.25">
      <c r="A109" s="1" t="s">
        <v>176</v>
      </c>
      <c r="B109" s="1" t="s">
        <v>24</v>
      </c>
      <c r="C109">
        <v>13.975903614457801</v>
      </c>
      <c r="D109">
        <v>95</v>
      </c>
      <c r="E109" t="s">
        <v>21</v>
      </c>
      <c r="F109" t="s">
        <v>8</v>
      </c>
      <c r="G109" t="s">
        <v>9</v>
      </c>
      <c r="H109">
        <v>2.2000000000000002</v>
      </c>
      <c r="I109" t="str">
        <f>VLOOKUP(H109,'Encoding Errors'!$A$2:$B$16,2,FALSE)</f>
        <v>In Allocation, chose economic when the humans chose a more specific label</v>
      </c>
      <c r="J109" t="s">
        <v>244</v>
      </c>
    </row>
    <row r="110" spans="1:10" ht="30" x14ac:dyDescent="0.25">
      <c r="A110" s="1" t="s">
        <v>178</v>
      </c>
      <c r="B110" s="1" t="s">
        <v>24</v>
      </c>
      <c r="C110">
        <v>13.975903614457801</v>
      </c>
      <c r="D110">
        <v>100</v>
      </c>
      <c r="E110" t="s">
        <v>21</v>
      </c>
      <c r="F110" t="s">
        <v>8</v>
      </c>
      <c r="G110" t="s">
        <v>9</v>
      </c>
      <c r="H110">
        <v>2.2000000000000002</v>
      </c>
      <c r="I110" t="str">
        <f>VLOOKUP(H110,'Encoding Errors'!$A$2:$B$16,2,FALSE)</f>
        <v>In Allocation, chose economic when the humans chose a more specific label</v>
      </c>
      <c r="J110" t="s">
        <v>245</v>
      </c>
    </row>
    <row r="111" spans="1:10" ht="75" x14ac:dyDescent="0.25">
      <c r="A111" s="1" t="s">
        <v>124</v>
      </c>
      <c r="B111" t="s">
        <v>20</v>
      </c>
      <c r="C111">
        <v>13.975903614457801</v>
      </c>
      <c r="D111">
        <v>84</v>
      </c>
      <c r="E111" t="s">
        <v>21</v>
      </c>
      <c r="F111" t="s">
        <v>8</v>
      </c>
      <c r="G111" t="s">
        <v>57</v>
      </c>
      <c r="H111">
        <v>2.1</v>
      </c>
      <c r="I111" t="str">
        <f>VLOOKUP(H111,'Encoding Errors'!$A$2:$B$16,2,FALSE)</f>
        <v>In Allocation, confused none with none required</v>
      </c>
    </row>
    <row r="112" spans="1:10" ht="60" x14ac:dyDescent="0.25">
      <c r="A112" s="1" t="s">
        <v>130</v>
      </c>
      <c r="B112" t="s">
        <v>24</v>
      </c>
      <c r="C112">
        <v>13.975903614457801</v>
      </c>
      <c r="D112">
        <v>95</v>
      </c>
      <c r="E112" t="s">
        <v>21</v>
      </c>
      <c r="F112" t="s">
        <v>8</v>
      </c>
      <c r="G112" t="s">
        <v>57</v>
      </c>
      <c r="H112">
        <v>2.2000000000000002</v>
      </c>
      <c r="I112" t="str">
        <f>VLOOKUP(H112,'Encoding Errors'!$A$2:$B$16,2,FALSE)</f>
        <v>In Allocation, chose economic when the humans chose a more specific label</v>
      </c>
    </row>
    <row r="113" spans="1:10" ht="30" x14ac:dyDescent="0.25">
      <c r="A113" s="1" t="s">
        <v>155</v>
      </c>
      <c r="B113" s="1" t="s">
        <v>36</v>
      </c>
      <c r="C113">
        <v>10</v>
      </c>
      <c r="D113">
        <v>60</v>
      </c>
      <c r="E113" t="s">
        <v>11</v>
      </c>
      <c r="F113" t="s">
        <v>8</v>
      </c>
      <c r="G113" t="s">
        <v>9</v>
      </c>
      <c r="H113">
        <v>5</v>
      </c>
      <c r="I113" t="str">
        <f>VLOOKUP(H113,'Encoding Errors'!$A$2:$B$16,2,FALSE)</f>
        <v>AI model has justifiable response</v>
      </c>
      <c r="J113" t="s">
        <v>267</v>
      </c>
    </row>
    <row r="114" spans="1:10" ht="30" x14ac:dyDescent="0.25">
      <c r="A114" s="1" t="s">
        <v>157</v>
      </c>
      <c r="B114" s="1" t="s">
        <v>32</v>
      </c>
      <c r="C114">
        <v>11.084337349397501</v>
      </c>
      <c r="D114">
        <v>63</v>
      </c>
      <c r="E114" t="s">
        <v>11</v>
      </c>
      <c r="F114" t="s">
        <v>8</v>
      </c>
      <c r="G114" t="s">
        <v>9</v>
      </c>
      <c r="H114">
        <v>4</v>
      </c>
      <c r="I114" t="str">
        <f>VLOOKUP(H114,'Encoding Errors'!$A$2:$B$16,2,FALSE)</f>
        <v>AI model likely incorrect</v>
      </c>
      <c r="J114" t="s">
        <v>276</v>
      </c>
    </row>
    <row r="115" spans="1:10" ht="60" x14ac:dyDescent="0.25">
      <c r="A115" s="1" t="s">
        <v>158</v>
      </c>
      <c r="B115" s="1" t="s">
        <v>12</v>
      </c>
      <c r="C115">
        <v>16.867469879518001</v>
      </c>
      <c r="D115">
        <v>66</v>
      </c>
      <c r="E115" t="s">
        <v>11</v>
      </c>
      <c r="F115" t="s">
        <v>8</v>
      </c>
      <c r="G115" t="s">
        <v>9</v>
      </c>
      <c r="H115">
        <v>8.1999999999999993</v>
      </c>
      <c r="I115" t="str">
        <f>VLOOKUP(H115,'Encoding Errors'!$A$2:$B$16,2,FALSE)</f>
        <v>In FU, AI model confuses cold carcass weight, cold dressed carcass weight, and liveweight</v>
      </c>
    </row>
    <row r="116" spans="1:10" ht="120" x14ac:dyDescent="0.25">
      <c r="A116" s="1" t="s">
        <v>103</v>
      </c>
      <c r="B116" s="1" t="s">
        <v>36</v>
      </c>
      <c r="C116">
        <v>10</v>
      </c>
      <c r="D116">
        <v>60</v>
      </c>
      <c r="E116" t="s">
        <v>11</v>
      </c>
      <c r="F116" t="s">
        <v>8</v>
      </c>
      <c r="G116" t="s">
        <v>57</v>
      </c>
      <c r="H116">
        <v>5</v>
      </c>
      <c r="I116" t="str">
        <f>VLOOKUP(H116,'Encoding Errors'!$A$2:$B$16,2,FALSE)</f>
        <v>AI model has justifiable response</v>
      </c>
      <c r="J116" t="s">
        <v>263</v>
      </c>
    </row>
    <row r="117" spans="1:10" ht="120" x14ac:dyDescent="0.25">
      <c r="A117" s="1" t="s">
        <v>106</v>
      </c>
      <c r="B117" s="1" t="s">
        <v>32</v>
      </c>
      <c r="C117">
        <v>11.084337349397501</v>
      </c>
      <c r="D117">
        <v>63</v>
      </c>
      <c r="E117" t="s">
        <v>11</v>
      </c>
      <c r="F117" t="s">
        <v>8</v>
      </c>
      <c r="G117" t="s">
        <v>57</v>
      </c>
      <c r="H117">
        <v>4</v>
      </c>
      <c r="I117" t="str">
        <f>VLOOKUP(H117,'Encoding Errors'!$A$2:$B$16,2,FALSE)</f>
        <v>AI model likely incorrect</v>
      </c>
      <c r="J117" t="s">
        <v>264</v>
      </c>
    </row>
    <row r="118" spans="1:10" ht="135" x14ac:dyDescent="0.25">
      <c r="A118" s="1" t="s">
        <v>107</v>
      </c>
      <c r="B118" s="1" t="s">
        <v>12</v>
      </c>
      <c r="C118">
        <v>16.867469879518001</v>
      </c>
      <c r="D118">
        <v>66</v>
      </c>
      <c r="E118" t="s">
        <v>11</v>
      </c>
      <c r="F118" t="s">
        <v>8</v>
      </c>
      <c r="G118" t="s">
        <v>57</v>
      </c>
      <c r="H118">
        <v>8.1999999999999993</v>
      </c>
      <c r="I118" t="str">
        <f>VLOOKUP(H118,'Encoding Errors'!$A$2:$B$16,2,FALSE)</f>
        <v>In FU, AI model confuses cold carcass weight, cold dressed carcass weight, and liveweight</v>
      </c>
    </row>
    <row r="119" spans="1:10" ht="150" x14ac:dyDescent="0.25">
      <c r="A119" s="1" t="s">
        <v>110</v>
      </c>
      <c r="B119" s="1" t="s">
        <v>19</v>
      </c>
      <c r="C119">
        <v>10</v>
      </c>
      <c r="D119">
        <v>68</v>
      </c>
      <c r="E119" t="s">
        <v>11</v>
      </c>
      <c r="F119" t="s">
        <v>8</v>
      </c>
      <c r="G119" t="s">
        <v>57</v>
      </c>
      <c r="H119">
        <v>4</v>
      </c>
      <c r="I119" t="str">
        <f>VLOOKUP(H119,'Encoding Errors'!$A$2:$B$16,2,FALSE)</f>
        <v>AI model likely incorrect</v>
      </c>
    </row>
    <row r="120" spans="1:10" ht="150" x14ac:dyDescent="0.25">
      <c r="A120" s="1" t="s">
        <v>110</v>
      </c>
      <c r="B120" s="1" t="s">
        <v>38</v>
      </c>
      <c r="C120">
        <v>11.084337349397501</v>
      </c>
      <c r="D120">
        <v>68</v>
      </c>
      <c r="E120" t="s">
        <v>11</v>
      </c>
      <c r="F120" t="s">
        <v>8</v>
      </c>
      <c r="G120" t="s">
        <v>57</v>
      </c>
      <c r="H120">
        <v>4</v>
      </c>
      <c r="I120" t="str">
        <f>VLOOKUP(H120,'Encoding Errors'!$A$2:$B$16,2,FALSE)</f>
        <v>AI model likely incorrect</v>
      </c>
    </row>
    <row r="121" spans="1:10" ht="120" x14ac:dyDescent="0.25">
      <c r="A121" s="1" t="s">
        <v>113</v>
      </c>
      <c r="B121" s="1" t="s">
        <v>32</v>
      </c>
      <c r="C121">
        <v>11.084337349397501</v>
      </c>
      <c r="D121">
        <v>73</v>
      </c>
      <c r="E121" t="s">
        <v>11</v>
      </c>
      <c r="F121" t="s">
        <v>8</v>
      </c>
      <c r="G121" t="s">
        <v>57</v>
      </c>
      <c r="H121">
        <v>5</v>
      </c>
      <c r="I121" t="str">
        <f>VLOOKUP(H121,'Encoding Errors'!$A$2:$B$16,2,FALSE)</f>
        <v>AI model has justifiable response</v>
      </c>
      <c r="J121" t="s">
        <v>265</v>
      </c>
    </row>
    <row r="122" spans="1:10" ht="60" x14ac:dyDescent="0.25">
      <c r="A122" s="1" t="s">
        <v>160</v>
      </c>
      <c r="B122" s="1" t="s">
        <v>19</v>
      </c>
      <c r="C122">
        <v>10</v>
      </c>
      <c r="D122">
        <v>68</v>
      </c>
      <c r="E122" t="s">
        <v>11</v>
      </c>
      <c r="F122" t="s">
        <v>8</v>
      </c>
      <c r="G122" t="s">
        <v>9</v>
      </c>
      <c r="H122">
        <v>5</v>
      </c>
      <c r="I122" t="str">
        <f>VLOOKUP(H122,'Encoding Errors'!$A$2:$B$16,2,FALSE)</f>
        <v>AI model has justifiable response</v>
      </c>
      <c r="J122" t="s">
        <v>278</v>
      </c>
    </row>
    <row r="123" spans="1:10" ht="105" x14ac:dyDescent="0.25">
      <c r="A123" s="1" t="s">
        <v>185</v>
      </c>
      <c r="B123" s="1" t="s">
        <v>10</v>
      </c>
      <c r="C123">
        <v>56.8152866242038</v>
      </c>
      <c r="D123">
        <v>31</v>
      </c>
      <c r="E123" t="s">
        <v>11</v>
      </c>
      <c r="F123" t="s">
        <v>56</v>
      </c>
      <c r="G123" t="s">
        <v>57</v>
      </c>
      <c r="H123">
        <v>8.1</v>
      </c>
      <c r="I123" t="str">
        <f>VLOOKUP(H123,'Encoding Errors'!$A$2:$B$16,2,FALSE)</f>
        <v>In FU, labeler only includes relative while AI model adds other categories</v>
      </c>
    </row>
    <row r="124" spans="1:10" ht="90" x14ac:dyDescent="0.25">
      <c r="A124" s="1" t="s">
        <v>85</v>
      </c>
      <c r="B124" s="1" t="s">
        <v>12</v>
      </c>
      <c r="C124">
        <v>18.2165605095541</v>
      </c>
      <c r="D124">
        <v>35</v>
      </c>
      <c r="E124" t="s">
        <v>11</v>
      </c>
      <c r="F124" t="s">
        <v>56</v>
      </c>
      <c r="G124" t="s">
        <v>57</v>
      </c>
      <c r="H124">
        <v>8.1999999999999993</v>
      </c>
      <c r="I124" t="str">
        <f>VLOOKUP(H124,'Encoding Errors'!$A$2:$B$16,2,FALSE)</f>
        <v>In FU, AI model confuses cold carcass weight, cold dressed carcass weight, and liveweight</v>
      </c>
    </row>
    <row r="125" spans="1:10" ht="90" x14ac:dyDescent="0.25">
      <c r="A125" s="1" t="s">
        <v>186</v>
      </c>
      <c r="B125" s="1" t="s">
        <v>10</v>
      </c>
      <c r="C125">
        <v>56.8152866242038</v>
      </c>
      <c r="D125">
        <v>36</v>
      </c>
      <c r="E125" t="s">
        <v>11</v>
      </c>
      <c r="F125" t="s">
        <v>56</v>
      </c>
      <c r="G125" t="s">
        <v>57</v>
      </c>
      <c r="H125">
        <v>8.1</v>
      </c>
      <c r="I125" t="str">
        <f>VLOOKUP(H125,'Encoding Errors'!$A$2:$B$16,2,FALSE)</f>
        <v>In FU, labeler only includes relative while AI model adds other categories</v>
      </c>
    </row>
    <row r="126" spans="1:10" ht="90" x14ac:dyDescent="0.25">
      <c r="A126" s="1" t="s">
        <v>187</v>
      </c>
      <c r="B126" s="1" t="s">
        <v>36</v>
      </c>
      <c r="C126">
        <v>10.191082802547699</v>
      </c>
      <c r="D126">
        <v>38</v>
      </c>
      <c r="E126" t="s">
        <v>11</v>
      </c>
      <c r="F126" t="s">
        <v>56</v>
      </c>
      <c r="G126" t="s">
        <v>57</v>
      </c>
      <c r="H126">
        <v>5</v>
      </c>
      <c r="I126" t="str">
        <f>VLOOKUP(H126,'Encoding Errors'!$A$2:$B$16,2,FALSE)</f>
        <v>AI model has justifiable response</v>
      </c>
      <c r="J126" t="s">
        <v>270</v>
      </c>
    </row>
    <row r="127" spans="1:10" ht="90" x14ac:dyDescent="0.25">
      <c r="A127" s="1" t="s">
        <v>187</v>
      </c>
      <c r="B127" s="1" t="s">
        <v>59</v>
      </c>
      <c r="C127">
        <v>56.8152866242038</v>
      </c>
      <c r="D127">
        <v>38</v>
      </c>
      <c r="E127" t="s">
        <v>11</v>
      </c>
      <c r="F127" t="s">
        <v>56</v>
      </c>
      <c r="G127" t="s">
        <v>57</v>
      </c>
      <c r="H127">
        <v>5</v>
      </c>
      <c r="I127" t="str">
        <f>VLOOKUP(H127,'Encoding Errors'!$A$2:$B$16,2,FALSE)</f>
        <v>AI model has justifiable response</v>
      </c>
      <c r="J127" t="s">
        <v>270</v>
      </c>
    </row>
    <row r="128" spans="1:10" ht="135" x14ac:dyDescent="0.25">
      <c r="A128" s="1" t="s">
        <v>189</v>
      </c>
      <c r="B128" s="1" t="s">
        <v>54</v>
      </c>
      <c r="C128">
        <v>18.2165605095541</v>
      </c>
      <c r="D128">
        <v>39</v>
      </c>
      <c r="E128" t="s">
        <v>11</v>
      </c>
      <c r="F128" t="s">
        <v>56</v>
      </c>
      <c r="G128" t="s">
        <v>57</v>
      </c>
      <c r="H128">
        <v>8.1999999999999993</v>
      </c>
      <c r="I128" t="str">
        <f>VLOOKUP(H128,'Encoding Errors'!$A$2:$B$16,2,FALSE)</f>
        <v>In FU, AI model confuses cold carcass weight, cold dressed carcass weight, and liveweight</v>
      </c>
    </row>
    <row r="129" spans="1:9" ht="135" x14ac:dyDescent="0.25">
      <c r="A129" s="1" t="s">
        <v>107</v>
      </c>
      <c r="B129" s="1" t="s">
        <v>54</v>
      </c>
      <c r="C129">
        <v>18.2165605095541</v>
      </c>
      <c r="D129">
        <v>40</v>
      </c>
      <c r="E129" t="s">
        <v>11</v>
      </c>
      <c r="F129" t="s">
        <v>56</v>
      </c>
      <c r="G129" t="s">
        <v>57</v>
      </c>
      <c r="H129">
        <v>8.1999999999999993</v>
      </c>
      <c r="I129" t="str">
        <f>VLOOKUP(H129,'Encoding Errors'!$A$2:$B$16,2,FALSE)</f>
        <v>In FU, AI model confuses cold carcass weight, cold dressed carcass weight, and liveweight</v>
      </c>
    </row>
    <row r="130" spans="1:9" ht="135" x14ac:dyDescent="0.25">
      <c r="A130" s="1" t="s">
        <v>107</v>
      </c>
      <c r="B130" s="1" t="s">
        <v>54</v>
      </c>
      <c r="C130">
        <v>18.2165605095541</v>
      </c>
      <c r="D130">
        <v>41</v>
      </c>
      <c r="E130" t="s">
        <v>11</v>
      </c>
      <c r="F130" t="s">
        <v>56</v>
      </c>
      <c r="G130" t="s">
        <v>57</v>
      </c>
      <c r="H130">
        <v>8.1</v>
      </c>
      <c r="I130" t="str">
        <f>VLOOKUP(H130,'Encoding Errors'!$A$2:$B$16,2,FALSE)</f>
        <v>In FU, labeler only includes relative while AI model adds other categories</v>
      </c>
    </row>
    <row r="131" spans="1:9" ht="60" x14ac:dyDescent="0.25">
      <c r="A131" s="1" t="s">
        <v>138</v>
      </c>
      <c r="B131" s="1" t="s">
        <v>12</v>
      </c>
      <c r="C131">
        <v>18.2165605095541</v>
      </c>
      <c r="D131">
        <v>35</v>
      </c>
      <c r="E131" t="s">
        <v>11</v>
      </c>
      <c r="F131" t="s">
        <v>56</v>
      </c>
      <c r="G131" t="s">
        <v>9</v>
      </c>
      <c r="H131">
        <v>8.1999999999999993</v>
      </c>
      <c r="I131" t="str">
        <f>VLOOKUP(H131,'Encoding Errors'!$A$2:$B$16,2,FALSE)</f>
        <v>In FU, AI model confuses cold carcass weight, cold dressed carcass weight, and liveweight</v>
      </c>
    </row>
    <row r="132" spans="1:9" ht="60" x14ac:dyDescent="0.25">
      <c r="A132" s="1" t="s">
        <v>213</v>
      </c>
      <c r="B132" s="1" t="s">
        <v>10</v>
      </c>
      <c r="C132">
        <v>56.8152866242038</v>
      </c>
      <c r="D132">
        <v>36</v>
      </c>
      <c r="E132" t="s">
        <v>11</v>
      </c>
      <c r="F132" t="s">
        <v>56</v>
      </c>
      <c r="G132" t="s">
        <v>9</v>
      </c>
      <c r="H132">
        <v>8.1</v>
      </c>
      <c r="I132" t="str">
        <f>VLOOKUP(H132,'Encoding Errors'!$A$2:$B$16,2,FALSE)</f>
        <v>In FU, labeler only includes relative while AI model adds other categories</v>
      </c>
    </row>
    <row r="133" spans="1:9" ht="45" x14ac:dyDescent="0.25">
      <c r="A133" s="1" t="s">
        <v>209</v>
      </c>
      <c r="B133" s="1" t="s">
        <v>53</v>
      </c>
      <c r="C133">
        <v>87.388535031847098</v>
      </c>
      <c r="D133">
        <v>3</v>
      </c>
      <c r="E133" t="s">
        <v>7</v>
      </c>
      <c r="F133" t="s">
        <v>56</v>
      </c>
      <c r="G133" t="s">
        <v>9</v>
      </c>
      <c r="H133">
        <v>3.1</v>
      </c>
      <c r="I133" t="str">
        <f>VLOOKUP(H133,'Encoding Errors'!$A$2:$B$16,2,FALSE)</f>
        <v>In the system boundary, the authors of the study did not report an item the AI model wants to consider for completeness</v>
      </c>
    </row>
    <row r="134" spans="1:9" ht="30" x14ac:dyDescent="0.25">
      <c r="A134" t="s">
        <v>180</v>
      </c>
      <c r="B134" s="1" t="s">
        <v>53</v>
      </c>
      <c r="C134">
        <v>87.388535031847098</v>
      </c>
      <c r="D134">
        <v>3</v>
      </c>
      <c r="E134" t="s">
        <v>7</v>
      </c>
      <c r="F134" t="s">
        <v>56</v>
      </c>
      <c r="G134" t="s">
        <v>57</v>
      </c>
      <c r="H134">
        <v>3.1</v>
      </c>
      <c r="I134" t="str">
        <f>VLOOKUP(H134,'Encoding Errors'!$A$2:$B$16,2,FALSE)</f>
        <v>In the system boundary, the authors of the study did not report an item the AI model wants to consider for completeness</v>
      </c>
    </row>
    <row r="135" spans="1:9" ht="45" x14ac:dyDescent="0.25">
      <c r="A135" s="1" t="s">
        <v>141</v>
      </c>
      <c r="B135" s="1" t="s">
        <v>15</v>
      </c>
      <c r="C135">
        <v>24.337349397590302</v>
      </c>
      <c r="D135">
        <v>23</v>
      </c>
      <c r="E135" t="s">
        <v>7</v>
      </c>
      <c r="F135" t="s">
        <v>8</v>
      </c>
      <c r="G135" t="s">
        <v>9</v>
      </c>
      <c r="H135">
        <v>3.2</v>
      </c>
      <c r="I135" t="str">
        <f>VLOOKUP(H135,'Encoding Errors'!$A$2:$B$16,2,FALSE)</f>
        <v>In the system boundary, the AI model does not want to report an item the authors of the study did report for completeness</v>
      </c>
    </row>
    <row r="136" spans="1:9" ht="30" x14ac:dyDescent="0.25">
      <c r="A136" s="1" t="s">
        <v>210</v>
      </c>
      <c r="B136" s="1" t="s">
        <v>53</v>
      </c>
      <c r="C136">
        <v>87.388535031847098</v>
      </c>
      <c r="D136">
        <v>13</v>
      </c>
      <c r="E136" t="s">
        <v>7</v>
      </c>
      <c r="F136" t="s">
        <v>56</v>
      </c>
      <c r="G136" t="s">
        <v>9</v>
      </c>
      <c r="H136">
        <v>3.1</v>
      </c>
      <c r="I136" t="str">
        <f>VLOOKUP(H136,'Encoding Errors'!$A$2:$B$16,2,FALSE)</f>
        <v>In the system boundary, the authors of the study did not report an item the AI model wants to consider for completeness</v>
      </c>
    </row>
    <row r="137" spans="1:9" ht="30" x14ac:dyDescent="0.25">
      <c r="A137" t="s">
        <v>183</v>
      </c>
      <c r="B137" s="1" t="s">
        <v>53</v>
      </c>
      <c r="C137">
        <v>87.388535031847098</v>
      </c>
      <c r="D137">
        <v>13</v>
      </c>
      <c r="E137" t="s">
        <v>7</v>
      </c>
      <c r="F137" t="s">
        <v>56</v>
      </c>
      <c r="G137" t="s">
        <v>57</v>
      </c>
      <c r="H137">
        <v>3.1</v>
      </c>
      <c r="I137" t="str">
        <f>VLOOKUP(H137,'Encoding Errors'!$A$2:$B$16,2,FALSE)</f>
        <v>In the system boundary, the authors of the study did not report an item the AI model wants to consider for completeness</v>
      </c>
    </row>
    <row r="138" spans="1:9" ht="30" x14ac:dyDescent="0.25">
      <c r="A138" t="s">
        <v>84</v>
      </c>
      <c r="B138" s="1" t="s">
        <v>67</v>
      </c>
      <c r="C138">
        <v>38.313253012048101</v>
      </c>
      <c r="D138">
        <v>16</v>
      </c>
      <c r="E138" t="s">
        <v>7</v>
      </c>
      <c r="F138" t="s">
        <v>8</v>
      </c>
      <c r="G138" t="s">
        <v>57</v>
      </c>
      <c r="H138">
        <v>3.1</v>
      </c>
      <c r="I138" t="str">
        <f>VLOOKUP(H138,'Encoding Errors'!$A$2:$B$16,2,FALSE)</f>
        <v>In the system boundary, the authors of the study did not report an item the AI model wants to consider for completeness</v>
      </c>
    </row>
    <row r="139" spans="1:9" ht="30" x14ac:dyDescent="0.25">
      <c r="A139" t="s">
        <v>86</v>
      </c>
      <c r="B139" s="1" t="s">
        <v>13</v>
      </c>
      <c r="C139">
        <v>54.337349397590302</v>
      </c>
      <c r="D139">
        <v>18</v>
      </c>
      <c r="E139" t="s">
        <v>7</v>
      </c>
      <c r="F139" t="s">
        <v>8</v>
      </c>
      <c r="G139" t="s">
        <v>57</v>
      </c>
      <c r="H139">
        <v>3.1</v>
      </c>
      <c r="I139" t="str">
        <f>VLOOKUP(H139,'Encoding Errors'!$A$2:$B$16,2,FALSE)</f>
        <v>In the system boundary, the authors of the study did not report an item the AI model wants to consider for completeness</v>
      </c>
    </row>
    <row r="140" spans="1:9" ht="30" x14ac:dyDescent="0.25">
      <c r="A140" t="s">
        <v>88</v>
      </c>
      <c r="B140" s="1" t="s">
        <v>14</v>
      </c>
      <c r="C140">
        <v>59.036144578313198</v>
      </c>
      <c r="D140">
        <v>23</v>
      </c>
      <c r="E140" t="s">
        <v>7</v>
      </c>
      <c r="F140" t="s">
        <v>8</v>
      </c>
      <c r="G140" t="s">
        <v>57</v>
      </c>
      <c r="H140">
        <v>3.1</v>
      </c>
      <c r="I140" t="str">
        <f>VLOOKUP(H140,'Encoding Errors'!$A$2:$B$16,2,FALSE)</f>
        <v>In the system boundary, the authors of the study did not report an item the AI model wants to consider for completeness</v>
      </c>
    </row>
    <row r="141" spans="1:9" ht="30" x14ac:dyDescent="0.25">
      <c r="A141" t="s">
        <v>188</v>
      </c>
      <c r="B141" s="1" t="s">
        <v>53</v>
      </c>
      <c r="C141">
        <v>87.388535031847098</v>
      </c>
      <c r="D141">
        <v>38</v>
      </c>
      <c r="E141" t="s">
        <v>7</v>
      </c>
      <c r="F141" t="s">
        <v>56</v>
      </c>
      <c r="G141" t="s">
        <v>57</v>
      </c>
      <c r="H141">
        <v>3.1</v>
      </c>
      <c r="I141" t="str">
        <f>VLOOKUP(H141,'Encoding Errors'!$A$2:$B$16,2,FALSE)</f>
        <v>In the system boundary, the authors of the study did not report an item the AI model wants to consider for completeness</v>
      </c>
    </row>
    <row r="142" spans="1:9" ht="45" x14ac:dyDescent="0.25">
      <c r="A142" s="1" t="s">
        <v>215</v>
      </c>
      <c r="B142" s="1" t="s">
        <v>53</v>
      </c>
      <c r="C142">
        <v>87.388535031847098</v>
      </c>
      <c r="D142">
        <v>38</v>
      </c>
      <c r="E142" t="s">
        <v>7</v>
      </c>
      <c r="F142" t="s">
        <v>56</v>
      </c>
      <c r="G142" t="s">
        <v>9</v>
      </c>
      <c r="H142">
        <v>3.1</v>
      </c>
      <c r="I142" t="str">
        <f>VLOOKUP(H142,'Encoding Errors'!$A$2:$B$16,2,FALSE)</f>
        <v>In the system boundary, the authors of the study did not report an item the AI model wants to consider for completeness</v>
      </c>
    </row>
    <row r="143" spans="1:9" ht="30" x14ac:dyDescent="0.25">
      <c r="A143" t="s">
        <v>190</v>
      </c>
      <c r="B143" s="1" t="s">
        <v>53</v>
      </c>
      <c r="C143">
        <v>87.388535031847098</v>
      </c>
      <c r="D143">
        <v>40</v>
      </c>
      <c r="E143" t="s">
        <v>7</v>
      </c>
      <c r="F143" t="s">
        <v>56</v>
      </c>
      <c r="G143" t="s">
        <v>57</v>
      </c>
      <c r="H143">
        <v>3.1</v>
      </c>
      <c r="I143" t="str">
        <f>VLOOKUP(H143,'Encoding Errors'!$A$2:$B$16,2,FALSE)</f>
        <v>In the system boundary, the authors of the study did not report an item the AI model wants to consider for completeness</v>
      </c>
    </row>
    <row r="144" spans="1:9" ht="30" x14ac:dyDescent="0.25">
      <c r="A144" s="1" t="s">
        <v>218</v>
      </c>
      <c r="B144" s="1" t="s">
        <v>53</v>
      </c>
      <c r="C144">
        <v>87.388535031847098</v>
      </c>
      <c r="D144">
        <v>40</v>
      </c>
      <c r="E144" t="s">
        <v>7</v>
      </c>
      <c r="F144" t="s">
        <v>56</v>
      </c>
      <c r="G144" t="s">
        <v>9</v>
      </c>
      <c r="H144">
        <v>3.1</v>
      </c>
      <c r="I144" t="str">
        <f>VLOOKUP(H144,'Encoding Errors'!$A$2:$B$16,2,FALSE)</f>
        <v>In the system boundary, the authors of the study did not report an item the AI model wants to consider for completeness</v>
      </c>
    </row>
    <row r="145" spans="1:10" ht="30" x14ac:dyDescent="0.25">
      <c r="A145" t="s">
        <v>191</v>
      </c>
      <c r="B145" s="1" t="s">
        <v>53</v>
      </c>
      <c r="C145">
        <v>87.388535031847098</v>
      </c>
      <c r="D145">
        <v>44</v>
      </c>
      <c r="E145" t="s">
        <v>7</v>
      </c>
      <c r="F145" t="s">
        <v>56</v>
      </c>
      <c r="G145" t="s">
        <v>57</v>
      </c>
      <c r="H145">
        <v>3.1</v>
      </c>
      <c r="I145" t="str">
        <f>VLOOKUP(H145,'Encoding Errors'!$A$2:$B$16,2,FALSE)</f>
        <v>In the system boundary, the authors of the study did not report an item the AI model wants to consider for completeness</v>
      </c>
    </row>
    <row r="146" spans="1:10" ht="45" x14ac:dyDescent="0.25">
      <c r="A146" s="1" t="s">
        <v>219</v>
      </c>
      <c r="B146" s="1" t="s">
        <v>53</v>
      </c>
      <c r="C146">
        <v>87.388535031847098</v>
      </c>
      <c r="D146">
        <v>44</v>
      </c>
      <c r="E146" t="s">
        <v>7</v>
      </c>
      <c r="F146" t="s">
        <v>56</v>
      </c>
      <c r="G146" t="s">
        <v>9</v>
      </c>
      <c r="H146">
        <v>3.1</v>
      </c>
      <c r="I146" t="str">
        <f>VLOOKUP(H146,'Encoding Errors'!$A$2:$B$16,2,FALSE)</f>
        <v>In the system boundary, the authors of the study did not report an item the AI model wants to consider for completeness</v>
      </c>
    </row>
    <row r="147" spans="1:10" ht="30" x14ac:dyDescent="0.25">
      <c r="A147" t="s">
        <v>192</v>
      </c>
      <c r="B147" s="1" t="s">
        <v>53</v>
      </c>
      <c r="C147">
        <v>87.388535031847098</v>
      </c>
      <c r="D147">
        <v>46</v>
      </c>
      <c r="E147" t="s">
        <v>7</v>
      </c>
      <c r="F147" t="s">
        <v>56</v>
      </c>
      <c r="G147" t="s">
        <v>57</v>
      </c>
      <c r="H147">
        <v>3.1</v>
      </c>
      <c r="I147" t="str">
        <f>VLOOKUP(H147,'Encoding Errors'!$A$2:$B$16,2,FALSE)</f>
        <v>In the system boundary, the authors of the study did not report an item the AI model wants to consider for completeness</v>
      </c>
    </row>
    <row r="148" spans="1:10" ht="30" x14ac:dyDescent="0.25">
      <c r="A148" s="1" t="s">
        <v>220</v>
      </c>
      <c r="B148" s="1" t="s">
        <v>53</v>
      </c>
      <c r="C148">
        <v>87.388535031847098</v>
      </c>
      <c r="D148">
        <v>46</v>
      </c>
      <c r="E148" t="s">
        <v>7</v>
      </c>
      <c r="F148" t="s">
        <v>56</v>
      </c>
      <c r="G148" t="s">
        <v>9</v>
      </c>
      <c r="H148">
        <v>3.1</v>
      </c>
      <c r="I148" t="str">
        <f>VLOOKUP(H148,'Encoding Errors'!$A$2:$B$16,2,FALSE)</f>
        <v>In the system boundary, the authors of the study did not report an item the AI model wants to consider for completeness</v>
      </c>
    </row>
    <row r="149" spans="1:10" ht="30" x14ac:dyDescent="0.25">
      <c r="A149" s="1" t="s">
        <v>221</v>
      </c>
      <c r="B149" s="1" t="s">
        <v>37</v>
      </c>
      <c r="C149">
        <v>21.019108280254699</v>
      </c>
      <c r="D149">
        <v>53</v>
      </c>
      <c r="E149" t="s">
        <v>7</v>
      </c>
      <c r="F149" t="s">
        <v>56</v>
      </c>
      <c r="G149" t="s">
        <v>9</v>
      </c>
      <c r="H149">
        <v>3.1</v>
      </c>
      <c r="I149" t="str">
        <f>VLOOKUP(H149,'Encoding Errors'!$A$2:$B$16,2,FALSE)</f>
        <v>In the system boundary, the authors of the study did not report an item the AI model wants to consider for completeness</v>
      </c>
    </row>
    <row r="150" spans="1:10" ht="30" x14ac:dyDescent="0.25">
      <c r="A150" t="s">
        <v>193</v>
      </c>
      <c r="B150" s="1" t="s">
        <v>35</v>
      </c>
      <c r="C150">
        <v>73.375796178343904</v>
      </c>
      <c r="D150">
        <v>53</v>
      </c>
      <c r="E150" t="s">
        <v>7</v>
      </c>
      <c r="F150" t="s">
        <v>56</v>
      </c>
      <c r="G150" t="s">
        <v>57</v>
      </c>
      <c r="H150">
        <v>3.2</v>
      </c>
      <c r="I150" t="str">
        <f>VLOOKUP(H150,'Encoding Errors'!$A$2:$B$16,2,FALSE)</f>
        <v>In the system boundary, the AI model does not want to report an item the authors of the study did report for completeness</v>
      </c>
    </row>
    <row r="151" spans="1:10" ht="60" x14ac:dyDescent="0.25">
      <c r="A151" s="1" t="s">
        <v>152</v>
      </c>
      <c r="B151" s="1" t="s">
        <v>33</v>
      </c>
      <c r="C151">
        <v>53.855421686746901</v>
      </c>
      <c r="D151">
        <v>54</v>
      </c>
      <c r="E151" t="s">
        <v>7</v>
      </c>
      <c r="F151" t="s">
        <v>8</v>
      </c>
      <c r="G151" t="s">
        <v>9</v>
      </c>
      <c r="H151">
        <v>3.2</v>
      </c>
      <c r="I151" t="str">
        <f>VLOOKUP(H151,'Encoding Errors'!$A$2:$B$16,2,FALSE)</f>
        <v>In the system boundary, the AI model does not want to report an item the authors of the study did report for completeness</v>
      </c>
    </row>
    <row r="152" spans="1:10" ht="30" x14ac:dyDescent="0.25">
      <c r="A152" s="1" t="s">
        <v>139</v>
      </c>
      <c r="B152" s="1" t="s">
        <v>13</v>
      </c>
      <c r="C152">
        <v>54.337349397590302</v>
      </c>
      <c r="D152">
        <v>18</v>
      </c>
      <c r="E152" t="s">
        <v>7</v>
      </c>
      <c r="F152" t="s">
        <v>8</v>
      </c>
      <c r="G152" t="s">
        <v>9</v>
      </c>
      <c r="H152">
        <v>3.1</v>
      </c>
      <c r="I152" t="str">
        <f>VLOOKUP(H152,'Encoding Errors'!$A$2:$B$16,2,FALSE)</f>
        <v>In the system boundary, the authors of the study did not report an item the AI model wants to consider for completeness</v>
      </c>
    </row>
    <row r="153" spans="1:10" ht="30" x14ac:dyDescent="0.25">
      <c r="A153" t="s">
        <v>100</v>
      </c>
      <c r="B153" s="1" t="s">
        <v>33</v>
      </c>
      <c r="C153">
        <v>53.855421686746901</v>
      </c>
      <c r="D153">
        <v>54</v>
      </c>
      <c r="E153" t="s">
        <v>7</v>
      </c>
      <c r="F153" t="s">
        <v>8</v>
      </c>
      <c r="G153" t="s">
        <v>57</v>
      </c>
      <c r="H153">
        <v>3.2</v>
      </c>
      <c r="I153" t="str">
        <f>VLOOKUP(H153,'Encoding Errors'!$A$2:$B$16,2,FALSE)</f>
        <v>In the system boundary, the AI model does not want to report an item the authors of the study did report for completeness</v>
      </c>
    </row>
    <row r="154" spans="1:10" ht="60" x14ac:dyDescent="0.25">
      <c r="A154" s="1" t="s">
        <v>152</v>
      </c>
      <c r="B154" s="1" t="s">
        <v>14</v>
      </c>
      <c r="C154">
        <v>59.036144578313198</v>
      </c>
      <c r="D154">
        <v>54</v>
      </c>
      <c r="E154" t="s">
        <v>7</v>
      </c>
      <c r="F154" t="s">
        <v>8</v>
      </c>
      <c r="G154" t="s">
        <v>9</v>
      </c>
      <c r="H154">
        <v>3.1</v>
      </c>
      <c r="I154" t="str">
        <f>VLOOKUP(H154,'Encoding Errors'!$A$2:$B$16,2,FALSE)</f>
        <v>In the system boundary, the authors of the study did not report an item the AI model wants to consider for completeness</v>
      </c>
    </row>
    <row r="155" spans="1:10" ht="30" x14ac:dyDescent="0.25">
      <c r="A155" t="s">
        <v>100</v>
      </c>
      <c r="B155" s="1" t="s">
        <v>14</v>
      </c>
      <c r="C155">
        <v>59.036144578313198</v>
      </c>
      <c r="D155">
        <v>54</v>
      </c>
      <c r="E155" t="s">
        <v>7</v>
      </c>
      <c r="F155" t="s">
        <v>8</v>
      </c>
      <c r="G155" t="s">
        <v>57</v>
      </c>
      <c r="H155">
        <v>3.1</v>
      </c>
      <c r="I155" t="str">
        <f>VLOOKUP(H155,'Encoding Errors'!$A$2:$B$16,2,FALSE)</f>
        <v>In the system boundary, the authors of the study did not report an item the AI model wants to consider for completeness</v>
      </c>
    </row>
    <row r="156" spans="1:10" ht="30" x14ac:dyDescent="0.25">
      <c r="A156" s="1" t="s">
        <v>156</v>
      </c>
      <c r="B156" s="1" t="s">
        <v>35</v>
      </c>
      <c r="C156">
        <v>72.409638554216798</v>
      </c>
      <c r="D156">
        <v>60</v>
      </c>
      <c r="E156" t="s">
        <v>7</v>
      </c>
      <c r="F156" t="s">
        <v>8</v>
      </c>
      <c r="G156" t="s">
        <v>9</v>
      </c>
      <c r="H156">
        <v>3.2</v>
      </c>
      <c r="I156" t="str">
        <f>VLOOKUP(H156,'Encoding Errors'!$A$2:$B$16,2,FALSE)</f>
        <v>In the system boundary, the AI model does not want to report an item the authors of the study did report for completeness</v>
      </c>
    </row>
    <row r="157" spans="1:10" ht="30" x14ac:dyDescent="0.25">
      <c r="A157" t="s">
        <v>104</v>
      </c>
      <c r="B157" s="1" t="s">
        <v>35</v>
      </c>
      <c r="C157">
        <v>72.409638554216798</v>
      </c>
      <c r="D157">
        <v>60</v>
      </c>
      <c r="E157" t="s">
        <v>7</v>
      </c>
      <c r="F157" t="s">
        <v>8</v>
      </c>
      <c r="G157" t="s">
        <v>57</v>
      </c>
      <c r="H157">
        <v>3.2</v>
      </c>
      <c r="I157" t="str">
        <f>VLOOKUP(H157,'Encoding Errors'!$A$2:$B$16,2,FALSE)</f>
        <v>In the system boundary, the AI model does not want to report an item the authors of the study did report for completeness</v>
      </c>
    </row>
    <row r="158" spans="1:10" ht="60" x14ac:dyDescent="0.25">
      <c r="A158" s="1" t="s">
        <v>160</v>
      </c>
      <c r="B158" s="1" t="s">
        <v>38</v>
      </c>
      <c r="C158">
        <v>11.084337349397501</v>
      </c>
      <c r="D158">
        <v>68</v>
      </c>
      <c r="E158" t="s">
        <v>11</v>
      </c>
      <c r="F158" t="s">
        <v>8</v>
      </c>
      <c r="G158" t="s">
        <v>9</v>
      </c>
      <c r="H158">
        <v>5</v>
      </c>
      <c r="I158" t="str">
        <f>VLOOKUP(H158,'Encoding Errors'!$A$2:$B$16,2,FALSE)</f>
        <v>AI model has justifiable response</v>
      </c>
      <c r="J158" t="s">
        <v>278</v>
      </c>
    </row>
    <row r="159" spans="1:10" ht="30" x14ac:dyDescent="0.25">
      <c r="A159" s="1" t="s">
        <v>162</v>
      </c>
      <c r="B159" s="1" t="s">
        <v>39</v>
      </c>
      <c r="C159">
        <v>2.2891566265060201</v>
      </c>
      <c r="D159">
        <v>70</v>
      </c>
      <c r="E159" t="s">
        <v>11</v>
      </c>
      <c r="F159" t="s">
        <v>8</v>
      </c>
      <c r="G159" t="s">
        <v>9</v>
      </c>
      <c r="H159">
        <v>1.2</v>
      </c>
      <c r="I159" t="str">
        <f>VLOOKUP(H159,'Encoding Errors'!$A$2:$B$16,2,FALSE)</f>
        <v>Label occurs &lt;5% of the time in training samples</v>
      </c>
    </row>
    <row r="160" spans="1:10" ht="45" x14ac:dyDescent="0.25">
      <c r="A160" s="1" t="s">
        <v>164</v>
      </c>
      <c r="B160" s="1" t="s">
        <v>32</v>
      </c>
      <c r="C160">
        <v>11.084337349397501</v>
      </c>
      <c r="D160">
        <v>73</v>
      </c>
      <c r="E160" t="s">
        <v>11</v>
      </c>
      <c r="F160" t="s">
        <v>8</v>
      </c>
      <c r="G160" t="s">
        <v>9</v>
      </c>
      <c r="H160">
        <v>5</v>
      </c>
      <c r="I160" t="str">
        <f>VLOOKUP(H160,'Encoding Errors'!$A$2:$B$16,2,FALSE)</f>
        <v>AI model has justifiable response</v>
      </c>
      <c r="J160" t="s">
        <v>260</v>
      </c>
    </row>
    <row r="161" spans="1:10" ht="60" x14ac:dyDescent="0.25">
      <c r="A161" s="1" t="s">
        <v>168</v>
      </c>
      <c r="B161" s="1" t="s">
        <v>31</v>
      </c>
      <c r="C161">
        <v>4.6987951807228896</v>
      </c>
      <c r="D161">
        <v>79</v>
      </c>
      <c r="E161" t="s">
        <v>11</v>
      </c>
      <c r="F161" t="s">
        <v>8</v>
      </c>
      <c r="G161" t="s">
        <v>9</v>
      </c>
      <c r="H161">
        <v>1.2</v>
      </c>
      <c r="I161" t="str">
        <f>VLOOKUP(H161,'Encoding Errors'!$A$2:$B$16,2,FALSE)</f>
        <v>Label occurs &lt;5% of the time in training samples</v>
      </c>
    </row>
    <row r="162" spans="1:10" ht="90" x14ac:dyDescent="0.25">
      <c r="A162" s="1" t="s">
        <v>168</v>
      </c>
      <c r="B162" s="1" t="s">
        <v>32</v>
      </c>
      <c r="C162">
        <v>11.084337349397501</v>
      </c>
      <c r="D162">
        <v>79</v>
      </c>
      <c r="E162" t="s">
        <v>11</v>
      </c>
      <c r="F162" t="s">
        <v>8</v>
      </c>
      <c r="G162" t="s">
        <v>9</v>
      </c>
      <c r="H162">
        <v>4</v>
      </c>
      <c r="I162" t="str">
        <f>VLOOKUP(H162,'Encoding Errors'!$A$2:$B$16,2,FALSE)</f>
        <v>AI model likely incorrect</v>
      </c>
      <c r="J162" t="s">
        <v>279</v>
      </c>
    </row>
    <row r="163" spans="1:10" ht="105" x14ac:dyDescent="0.25">
      <c r="A163" s="1" t="s">
        <v>118</v>
      </c>
      <c r="B163" s="1" t="s">
        <v>19</v>
      </c>
      <c r="C163">
        <v>10</v>
      </c>
      <c r="D163">
        <v>78</v>
      </c>
      <c r="E163" t="s">
        <v>11</v>
      </c>
      <c r="F163" t="s">
        <v>8</v>
      </c>
      <c r="G163" t="s">
        <v>57</v>
      </c>
      <c r="H163">
        <v>4</v>
      </c>
      <c r="I163" t="str">
        <f>VLOOKUP(H163,'Encoding Errors'!$A$2:$B$16,2,FALSE)</f>
        <v>AI model likely incorrect</v>
      </c>
    </row>
    <row r="164" spans="1:10" ht="180" x14ac:dyDescent="0.25">
      <c r="A164" s="1" t="s">
        <v>121</v>
      </c>
      <c r="B164" s="1" t="s">
        <v>31</v>
      </c>
      <c r="C164">
        <v>4.6987951807228896</v>
      </c>
      <c r="D164">
        <v>79</v>
      </c>
      <c r="E164" t="s">
        <v>11</v>
      </c>
      <c r="F164" t="s">
        <v>8</v>
      </c>
      <c r="G164" t="s">
        <v>57</v>
      </c>
      <c r="H164">
        <v>4</v>
      </c>
      <c r="I164" t="str">
        <f>VLOOKUP(H164,'Encoding Errors'!$A$2:$B$16,2,FALSE)</f>
        <v>AI model likely incorrect</v>
      </c>
    </row>
    <row r="165" spans="1:10" ht="180" x14ac:dyDescent="0.25">
      <c r="A165" s="1" t="s">
        <v>121</v>
      </c>
      <c r="B165" s="1" t="s">
        <v>17</v>
      </c>
      <c r="C165">
        <v>95.301204819277103</v>
      </c>
      <c r="D165">
        <v>79</v>
      </c>
      <c r="E165" t="s">
        <v>11</v>
      </c>
      <c r="F165" t="s">
        <v>8</v>
      </c>
      <c r="G165" t="s">
        <v>57</v>
      </c>
      <c r="H165">
        <v>1.4</v>
      </c>
      <c r="I165" t="str">
        <f>VLOOKUP(H165,'Encoding Errors'!$A$2:$B$16,2,FALSE)</f>
        <v>Label occurs &gt;90% of the time in training samples</v>
      </c>
    </row>
    <row r="166" spans="1:10" ht="135" x14ac:dyDescent="0.25">
      <c r="A166" s="1" t="s">
        <v>123</v>
      </c>
      <c r="B166" s="1" t="s">
        <v>10</v>
      </c>
      <c r="C166">
        <v>54.4578313253012</v>
      </c>
      <c r="D166">
        <v>84</v>
      </c>
      <c r="E166" t="s">
        <v>11</v>
      </c>
      <c r="F166" t="s">
        <v>8</v>
      </c>
      <c r="G166" t="s">
        <v>57</v>
      </c>
      <c r="H166">
        <v>6</v>
      </c>
      <c r="I166" t="str">
        <f>VLOOKUP(H166,'Encoding Errors'!$A$2:$B$16,2,FALSE)</f>
        <v>Unclear</v>
      </c>
    </row>
    <row r="167" spans="1:10" ht="165" x14ac:dyDescent="0.25">
      <c r="A167" s="1" t="s">
        <v>126</v>
      </c>
      <c r="B167" s="1" t="s">
        <v>36</v>
      </c>
      <c r="C167">
        <v>10</v>
      </c>
      <c r="D167">
        <v>85</v>
      </c>
      <c r="E167" t="s">
        <v>11</v>
      </c>
      <c r="F167" t="s">
        <v>8</v>
      </c>
      <c r="G167" t="s">
        <v>57</v>
      </c>
      <c r="H167">
        <v>5</v>
      </c>
      <c r="I167" t="str">
        <f>VLOOKUP(H167,'Encoding Errors'!$A$2:$B$16,2,FALSE)</f>
        <v>AI model has justifiable response</v>
      </c>
      <c r="J167" t="s">
        <v>267</v>
      </c>
    </row>
    <row r="168" spans="1:10" ht="60" x14ac:dyDescent="0.25">
      <c r="A168" s="1" t="s">
        <v>168</v>
      </c>
      <c r="B168" s="1" t="s">
        <v>17</v>
      </c>
      <c r="C168">
        <v>95.301204819277103</v>
      </c>
      <c r="D168">
        <v>79</v>
      </c>
      <c r="E168" t="s">
        <v>11</v>
      </c>
      <c r="F168" t="s">
        <v>8</v>
      </c>
      <c r="G168" t="s">
        <v>9</v>
      </c>
      <c r="H168">
        <v>1.4</v>
      </c>
      <c r="I168" t="str">
        <f>VLOOKUP(H168,'Encoding Errors'!$A$2:$B$16,2,FALSE)</f>
        <v>Label occurs &gt;90% of the time in training samples</v>
      </c>
    </row>
    <row r="169" spans="1:10" ht="90" x14ac:dyDescent="0.25">
      <c r="A169" s="1" t="s">
        <v>107</v>
      </c>
      <c r="B169" s="1" t="s">
        <v>10</v>
      </c>
      <c r="C169">
        <v>56.8152866242038</v>
      </c>
      <c r="D169">
        <v>41</v>
      </c>
      <c r="E169" t="s">
        <v>11</v>
      </c>
      <c r="F169" t="s">
        <v>56</v>
      </c>
      <c r="G169" t="s">
        <v>57</v>
      </c>
      <c r="H169">
        <v>8.1</v>
      </c>
      <c r="I169" t="str">
        <f>VLOOKUP(H169,'Encoding Errors'!$A$2:$B$16,2,FALSE)</f>
        <v>In FU, labeler only includes relative while AI model adds other categories</v>
      </c>
    </row>
    <row r="170" spans="1:10" ht="75" x14ac:dyDescent="0.25">
      <c r="A170" s="1" t="s">
        <v>195</v>
      </c>
      <c r="B170" s="1" t="s">
        <v>19</v>
      </c>
      <c r="C170">
        <v>10.191082802547699</v>
      </c>
      <c r="D170">
        <v>53</v>
      </c>
      <c r="E170" t="s">
        <v>11</v>
      </c>
      <c r="F170" t="s">
        <v>56</v>
      </c>
      <c r="G170" t="s">
        <v>57</v>
      </c>
      <c r="H170">
        <v>4</v>
      </c>
      <c r="I170" t="str">
        <f>VLOOKUP(H170,'Encoding Errors'!$A$2:$B$16,2,FALSE)</f>
        <v>AI model likely incorrect</v>
      </c>
      <c r="J170" t="s">
        <v>269</v>
      </c>
    </row>
    <row r="171" spans="1:10" ht="75" x14ac:dyDescent="0.25">
      <c r="A171" s="1" t="s">
        <v>195</v>
      </c>
      <c r="B171" s="1" t="s">
        <v>10</v>
      </c>
      <c r="C171">
        <v>56.8152866242038</v>
      </c>
      <c r="D171">
        <v>53</v>
      </c>
      <c r="E171" t="s">
        <v>11</v>
      </c>
      <c r="F171" t="s">
        <v>56</v>
      </c>
      <c r="G171" t="s">
        <v>57</v>
      </c>
      <c r="H171">
        <v>8.1</v>
      </c>
      <c r="I171" t="str">
        <f>VLOOKUP(H171,'Encoding Errors'!$A$2:$B$16,2,FALSE)</f>
        <v>In FU, labeler only includes relative while AI model adds other categories</v>
      </c>
    </row>
    <row r="172" spans="1:10" ht="60" x14ac:dyDescent="0.25">
      <c r="A172" s="1" t="s">
        <v>198</v>
      </c>
      <c r="B172" s="1" t="s">
        <v>38</v>
      </c>
      <c r="C172">
        <v>10.9554140127388</v>
      </c>
      <c r="D172">
        <v>59</v>
      </c>
      <c r="E172" t="s">
        <v>11</v>
      </c>
      <c r="F172" t="s">
        <v>56</v>
      </c>
      <c r="G172" t="s">
        <v>57</v>
      </c>
      <c r="H172">
        <v>4</v>
      </c>
      <c r="I172" t="str">
        <f>VLOOKUP(H172,'Encoding Errors'!$A$2:$B$16,2,FALSE)</f>
        <v>AI model likely incorrect</v>
      </c>
      <c r="J172" t="s">
        <v>268</v>
      </c>
    </row>
    <row r="173" spans="1:10" ht="90" x14ac:dyDescent="0.25">
      <c r="A173" s="1" t="s">
        <v>199</v>
      </c>
      <c r="B173" s="1" t="s">
        <v>10</v>
      </c>
      <c r="C173">
        <v>56.8152866242038</v>
      </c>
      <c r="D173">
        <v>60</v>
      </c>
      <c r="E173" t="s">
        <v>11</v>
      </c>
      <c r="F173" t="s">
        <v>56</v>
      </c>
      <c r="G173" t="s">
        <v>57</v>
      </c>
      <c r="H173">
        <v>8.1</v>
      </c>
      <c r="I173" t="str">
        <f>VLOOKUP(H173,'Encoding Errors'!$A$2:$B$16,2,FALSE)</f>
        <v>In FU, labeler only includes relative while AI model adds other categories</v>
      </c>
    </row>
    <row r="174" spans="1:10" ht="120" x14ac:dyDescent="0.25">
      <c r="A174" s="1" t="s">
        <v>200</v>
      </c>
      <c r="B174" s="1" t="s">
        <v>32</v>
      </c>
      <c r="C174">
        <v>10.9554140127388</v>
      </c>
      <c r="D174">
        <v>61</v>
      </c>
      <c r="E174" t="s">
        <v>11</v>
      </c>
      <c r="F174" t="s">
        <v>56</v>
      </c>
      <c r="G174" t="s">
        <v>57</v>
      </c>
      <c r="H174">
        <v>4</v>
      </c>
      <c r="I174" t="str">
        <f>VLOOKUP(H174,'Encoding Errors'!$A$2:$B$16,2,FALSE)</f>
        <v>AI model likely incorrect</v>
      </c>
      <c r="J174" t="s">
        <v>271</v>
      </c>
    </row>
    <row r="175" spans="1:10" ht="75" x14ac:dyDescent="0.25">
      <c r="A175" s="1" t="s">
        <v>203</v>
      </c>
      <c r="B175" s="1" t="s">
        <v>19</v>
      </c>
      <c r="C175">
        <v>10.191082802547699</v>
      </c>
      <c r="D175">
        <v>70</v>
      </c>
      <c r="E175" t="s">
        <v>11</v>
      </c>
      <c r="F175" t="s">
        <v>56</v>
      </c>
      <c r="G175" t="s">
        <v>57</v>
      </c>
      <c r="H175">
        <v>8.1</v>
      </c>
      <c r="I175" t="str">
        <f>VLOOKUP(H175,'Encoding Errors'!$A$2:$B$16,2,FALSE)</f>
        <v>In FU, labeler only includes relative while AI model adds other categories</v>
      </c>
    </row>
    <row r="176" spans="1:10" ht="75" x14ac:dyDescent="0.25">
      <c r="A176" s="1" t="s">
        <v>203</v>
      </c>
      <c r="B176" s="1" t="s">
        <v>10</v>
      </c>
      <c r="C176">
        <v>56.8152866242038</v>
      </c>
      <c r="D176">
        <v>70</v>
      </c>
      <c r="E176" t="s">
        <v>11</v>
      </c>
      <c r="F176" t="s">
        <v>56</v>
      </c>
      <c r="G176" t="s">
        <v>57</v>
      </c>
      <c r="H176">
        <v>8.1</v>
      </c>
      <c r="I176" t="str">
        <f>VLOOKUP(H176,'Encoding Errors'!$A$2:$B$16,2,FALSE)</f>
        <v>In FU, labeler only includes relative while AI model adds other categories</v>
      </c>
    </row>
    <row r="177" spans="1:10" ht="90" x14ac:dyDescent="0.25">
      <c r="A177" s="1" t="s">
        <v>206</v>
      </c>
      <c r="B177" s="1" t="s">
        <v>36</v>
      </c>
      <c r="C177">
        <v>10.191082802547699</v>
      </c>
      <c r="D177">
        <v>82</v>
      </c>
      <c r="E177" t="s">
        <v>11</v>
      </c>
      <c r="F177" t="s">
        <v>56</v>
      </c>
      <c r="G177" t="s">
        <v>57</v>
      </c>
      <c r="H177">
        <v>5</v>
      </c>
      <c r="I177" t="str">
        <f>VLOOKUP(H177,'Encoding Errors'!$A$2:$B$16,2,FALSE)</f>
        <v>AI model has justifiable response</v>
      </c>
      <c r="J177" t="s">
        <v>267</v>
      </c>
    </row>
    <row r="178" spans="1:10" ht="150" x14ac:dyDescent="0.25">
      <c r="A178" s="1" t="s">
        <v>90</v>
      </c>
      <c r="B178" s="1" t="s">
        <v>10</v>
      </c>
      <c r="C178">
        <v>56.8152866242038</v>
      </c>
      <c r="D178">
        <v>84</v>
      </c>
      <c r="E178" t="s">
        <v>11</v>
      </c>
      <c r="F178" t="s">
        <v>56</v>
      </c>
      <c r="G178" t="s">
        <v>57</v>
      </c>
      <c r="H178">
        <v>8.1</v>
      </c>
      <c r="I178" t="str">
        <f>VLOOKUP(H178,'Encoding Errors'!$A$2:$B$16,2,FALSE)</f>
        <v>In FU, labeler only includes relative while AI model adds other categories</v>
      </c>
    </row>
    <row r="179" spans="1:10" ht="135" x14ac:dyDescent="0.25">
      <c r="A179" s="1" t="s">
        <v>207</v>
      </c>
      <c r="B179" s="1" t="s">
        <v>10</v>
      </c>
      <c r="C179">
        <v>56.8152866242038</v>
      </c>
      <c r="D179">
        <v>87</v>
      </c>
      <c r="E179" t="s">
        <v>11</v>
      </c>
      <c r="F179" t="s">
        <v>56</v>
      </c>
      <c r="G179" t="s">
        <v>57</v>
      </c>
      <c r="H179">
        <v>8.1</v>
      </c>
      <c r="I179" t="str">
        <f>VLOOKUP(H179,'Encoding Errors'!$A$2:$B$16,2,FALSE)</f>
        <v>In FU, labeler only includes relative while AI model adds other categories</v>
      </c>
    </row>
    <row r="180" spans="1:10" ht="75" x14ac:dyDescent="0.25">
      <c r="A180" s="1" t="s">
        <v>216</v>
      </c>
      <c r="B180" s="1" t="s">
        <v>36</v>
      </c>
      <c r="C180">
        <v>10.191082802547699</v>
      </c>
      <c r="D180">
        <v>38</v>
      </c>
      <c r="E180" t="s">
        <v>11</v>
      </c>
      <c r="F180" t="s">
        <v>56</v>
      </c>
      <c r="G180" t="s">
        <v>9</v>
      </c>
      <c r="H180">
        <v>5</v>
      </c>
      <c r="I180" t="str">
        <f>VLOOKUP(H180,'Encoding Errors'!$A$2:$B$16,2,FALSE)</f>
        <v>AI model has justifiable response</v>
      </c>
      <c r="J180" t="s">
        <v>267</v>
      </c>
    </row>
    <row r="181" spans="1:10" ht="75" x14ac:dyDescent="0.25">
      <c r="A181" s="1" t="s">
        <v>216</v>
      </c>
      <c r="B181" s="1" t="s">
        <v>59</v>
      </c>
      <c r="C181">
        <v>56.8152866242038</v>
      </c>
      <c r="D181">
        <v>38</v>
      </c>
      <c r="E181" t="s">
        <v>11</v>
      </c>
      <c r="F181" t="s">
        <v>56</v>
      </c>
      <c r="G181" t="s">
        <v>9</v>
      </c>
      <c r="H181">
        <v>4</v>
      </c>
      <c r="I181" t="str">
        <f>VLOOKUP(H181,'Encoding Errors'!$A$2:$B$16,2,FALSE)</f>
        <v>AI model likely incorrect</v>
      </c>
      <c r="J181" t="s">
        <v>273</v>
      </c>
    </row>
    <row r="182" spans="1:10" ht="60" x14ac:dyDescent="0.25">
      <c r="A182" s="1" t="s">
        <v>217</v>
      </c>
      <c r="B182" s="1" t="s">
        <v>54</v>
      </c>
      <c r="C182">
        <v>18.2165605095541</v>
      </c>
      <c r="D182">
        <v>39</v>
      </c>
      <c r="E182" t="s">
        <v>11</v>
      </c>
      <c r="F182" t="s">
        <v>56</v>
      </c>
      <c r="G182" t="s">
        <v>9</v>
      </c>
      <c r="H182">
        <v>8.1999999999999993</v>
      </c>
      <c r="I182" t="str">
        <f>VLOOKUP(H182,'Encoding Errors'!$A$2:$B$16,2,FALSE)</f>
        <v>In FU, AI model confuses cold carcass weight, cold dressed carcass weight, and liveweight</v>
      </c>
    </row>
    <row r="183" spans="1:10" ht="60" x14ac:dyDescent="0.25">
      <c r="A183" s="1" t="s">
        <v>158</v>
      </c>
      <c r="B183" s="1" t="s">
        <v>10</v>
      </c>
      <c r="C183">
        <v>56.8152866242038</v>
      </c>
      <c r="D183">
        <v>41</v>
      </c>
      <c r="E183" t="s">
        <v>11</v>
      </c>
      <c r="F183" t="s">
        <v>56</v>
      </c>
      <c r="G183" t="s">
        <v>9</v>
      </c>
      <c r="H183">
        <v>8.1</v>
      </c>
      <c r="I183" t="str">
        <f>VLOOKUP(H183,'Encoding Errors'!$A$2:$B$16,2,FALSE)</f>
        <v>In FU, labeler only includes relative while AI model adds other categories</v>
      </c>
    </row>
    <row r="184" spans="1:10" ht="60" x14ac:dyDescent="0.25">
      <c r="A184" s="1" t="s">
        <v>222</v>
      </c>
      <c r="B184" s="1" t="s">
        <v>10</v>
      </c>
      <c r="C184">
        <v>56.8152866242038</v>
      </c>
      <c r="D184">
        <v>53</v>
      </c>
      <c r="E184" t="s">
        <v>11</v>
      </c>
      <c r="F184" t="s">
        <v>56</v>
      </c>
      <c r="G184" t="s">
        <v>9</v>
      </c>
      <c r="H184">
        <v>8.1</v>
      </c>
      <c r="I184" t="str">
        <f>VLOOKUP(H184,'Encoding Errors'!$A$2:$B$16,2,FALSE)</f>
        <v>In FU, labeler only includes relative while AI model adds other categories</v>
      </c>
    </row>
    <row r="185" spans="1:10" ht="30" x14ac:dyDescent="0.25">
      <c r="A185" s="1" t="s">
        <v>225</v>
      </c>
      <c r="B185" s="1" t="s">
        <v>38</v>
      </c>
      <c r="C185">
        <v>10.9554140127388</v>
      </c>
      <c r="D185">
        <v>59</v>
      </c>
      <c r="E185" t="s">
        <v>11</v>
      </c>
      <c r="F185" t="s">
        <v>56</v>
      </c>
      <c r="G185" t="s">
        <v>9</v>
      </c>
      <c r="H185">
        <v>4</v>
      </c>
      <c r="I185" t="str">
        <f>VLOOKUP(H185,'Encoding Errors'!$A$2:$B$16,2,FALSE)</f>
        <v>AI model likely incorrect</v>
      </c>
      <c r="J185" t="s">
        <v>274</v>
      </c>
    </row>
    <row r="186" spans="1:10" ht="60" x14ac:dyDescent="0.25">
      <c r="A186" s="1" t="s">
        <v>226</v>
      </c>
      <c r="B186" s="1" t="s">
        <v>10</v>
      </c>
      <c r="C186">
        <v>56.8152866242038</v>
      </c>
      <c r="D186">
        <v>60</v>
      </c>
      <c r="E186" t="s">
        <v>11</v>
      </c>
      <c r="F186" t="s">
        <v>56</v>
      </c>
      <c r="G186" t="s">
        <v>9</v>
      </c>
      <c r="H186">
        <v>8.1</v>
      </c>
      <c r="I186" t="str">
        <f>VLOOKUP(H186,'Encoding Errors'!$A$2:$B$16,2,FALSE)</f>
        <v>In FU, labeler only includes relative while AI model adds other categories</v>
      </c>
    </row>
    <row r="187" spans="1:10" ht="60" x14ac:dyDescent="0.25">
      <c r="A187" s="1" t="s">
        <v>228</v>
      </c>
      <c r="B187" s="1" t="s">
        <v>10</v>
      </c>
      <c r="C187">
        <v>56.8152866242038</v>
      </c>
      <c r="D187">
        <v>70</v>
      </c>
      <c r="E187" t="s">
        <v>11</v>
      </c>
      <c r="F187" t="s">
        <v>56</v>
      </c>
      <c r="G187" t="s">
        <v>9</v>
      </c>
      <c r="H187">
        <v>4</v>
      </c>
      <c r="I187" t="str">
        <f>VLOOKUP(H187,'Encoding Errors'!$A$2:$B$16,2,FALSE)</f>
        <v>AI model likely incorrect</v>
      </c>
      <c r="J187" t="s">
        <v>275</v>
      </c>
    </row>
    <row r="188" spans="1:10" ht="60" x14ac:dyDescent="0.25">
      <c r="A188" s="1" t="s">
        <v>143</v>
      </c>
      <c r="B188" s="1" t="s">
        <v>10</v>
      </c>
      <c r="C188">
        <v>56.8152866242038</v>
      </c>
      <c r="D188">
        <v>84</v>
      </c>
      <c r="E188" t="s">
        <v>11</v>
      </c>
      <c r="F188" t="s">
        <v>56</v>
      </c>
      <c r="G188" t="s">
        <v>9</v>
      </c>
      <c r="H188">
        <v>8.1</v>
      </c>
      <c r="I188" t="str">
        <f>VLOOKUP(H188,'Encoding Errors'!$A$2:$B$16,2,FALSE)</f>
        <v>In FU, labeler only includes relative while AI model adds other categories</v>
      </c>
    </row>
    <row r="189" spans="1:10" ht="60" x14ac:dyDescent="0.25">
      <c r="A189" s="1" t="s">
        <v>145</v>
      </c>
      <c r="B189" s="1" t="s">
        <v>10</v>
      </c>
      <c r="C189">
        <v>56.8152866242038</v>
      </c>
      <c r="D189">
        <v>87</v>
      </c>
      <c r="E189" t="s">
        <v>11</v>
      </c>
      <c r="F189" t="s">
        <v>56</v>
      </c>
      <c r="G189" t="s">
        <v>9</v>
      </c>
      <c r="H189">
        <v>8.1</v>
      </c>
      <c r="I189" t="str">
        <f>VLOOKUP(H189,'Encoding Errors'!$A$2:$B$16,2,FALSE)</f>
        <v>In FU, labeler only includes relative while AI model adds other categories</v>
      </c>
    </row>
    <row r="190" spans="1:10" ht="75" x14ac:dyDescent="0.25">
      <c r="A190" s="1" t="s">
        <v>140</v>
      </c>
      <c r="B190" s="1" t="s">
        <v>14</v>
      </c>
      <c r="C190">
        <v>59.036144578313198</v>
      </c>
      <c r="D190">
        <v>22</v>
      </c>
      <c r="E190" t="s">
        <v>7</v>
      </c>
      <c r="F190" t="s">
        <v>8</v>
      </c>
      <c r="G190" t="s">
        <v>9</v>
      </c>
      <c r="H190">
        <v>3.1</v>
      </c>
      <c r="I190" t="str">
        <f>VLOOKUP(H190,'Encoding Errors'!$A$2:$B$16,2,FALSE)</f>
        <v>In the system boundary, the authors of the study did not report an item the AI model wants to consider for completeness</v>
      </c>
    </row>
    <row r="191" spans="1:10" ht="45" x14ac:dyDescent="0.25">
      <c r="A191" s="1" t="s">
        <v>141</v>
      </c>
      <c r="B191" s="1" t="s">
        <v>14</v>
      </c>
      <c r="C191">
        <v>59.036144578313198</v>
      </c>
      <c r="D191">
        <v>23</v>
      </c>
      <c r="E191" t="s">
        <v>7</v>
      </c>
      <c r="F191" t="s">
        <v>8</v>
      </c>
      <c r="G191" t="s">
        <v>9</v>
      </c>
      <c r="H191">
        <v>3.1</v>
      </c>
      <c r="I191" t="str">
        <f>VLOOKUP(H191,'Encoding Errors'!$A$2:$B$16,2,FALSE)</f>
        <v>In the system boundary, the authors of the study did not report an item the AI model wants to consider for completeness</v>
      </c>
    </row>
    <row r="192" spans="1:10" ht="30" x14ac:dyDescent="0.25">
      <c r="A192" s="1" t="s">
        <v>161</v>
      </c>
      <c r="B192" s="1" t="s">
        <v>37</v>
      </c>
      <c r="C192">
        <v>24.337349397590302</v>
      </c>
      <c r="D192">
        <v>68</v>
      </c>
      <c r="E192" t="s">
        <v>7</v>
      </c>
      <c r="F192" t="s">
        <v>8</v>
      </c>
      <c r="G192" t="s">
        <v>9</v>
      </c>
      <c r="H192">
        <v>3.1</v>
      </c>
      <c r="I192" t="str">
        <f>VLOOKUP(H192,'Encoding Errors'!$A$2:$B$16,2,FALSE)</f>
        <v>In the system boundary, the authors of the study did not report an item the AI model wants to consider for completeness</v>
      </c>
    </row>
    <row r="193" spans="1:10" ht="30" x14ac:dyDescent="0.25">
      <c r="A193" t="s">
        <v>109</v>
      </c>
      <c r="B193" s="1" t="s">
        <v>37</v>
      </c>
      <c r="C193">
        <v>24.337349397590302</v>
      </c>
      <c r="D193">
        <v>68</v>
      </c>
      <c r="E193" t="s">
        <v>7</v>
      </c>
      <c r="F193" t="s">
        <v>8</v>
      </c>
      <c r="G193" t="s">
        <v>57</v>
      </c>
      <c r="H193">
        <v>3.1</v>
      </c>
      <c r="I193" t="str">
        <f>VLOOKUP(H193,'Encoding Errors'!$A$2:$B$16,2,FALSE)</f>
        <v>In the system boundary, the authors of the study did not report an item the AI model wants to consider for completeness</v>
      </c>
    </row>
    <row r="194" spans="1:10" ht="30" x14ac:dyDescent="0.25">
      <c r="A194" t="s">
        <v>109</v>
      </c>
      <c r="B194" s="1" t="s">
        <v>71</v>
      </c>
      <c r="C194">
        <v>54.337349397590302</v>
      </c>
      <c r="D194">
        <v>68</v>
      </c>
      <c r="E194" t="s">
        <v>7</v>
      </c>
      <c r="F194" t="s">
        <v>8</v>
      </c>
      <c r="G194" t="s">
        <v>57</v>
      </c>
      <c r="H194">
        <v>3.2</v>
      </c>
      <c r="I194" t="str">
        <f>VLOOKUP(H194,'Encoding Errors'!$A$2:$B$16,2,FALSE)</f>
        <v>In the system boundary, the AI model does not want to report an item the authors of the study did report for completeness</v>
      </c>
    </row>
    <row r="195" spans="1:10" ht="30" x14ac:dyDescent="0.25">
      <c r="A195" s="1" t="s">
        <v>229</v>
      </c>
      <c r="B195" s="1" t="s">
        <v>37</v>
      </c>
      <c r="C195">
        <v>21.019108280254699</v>
      </c>
      <c r="D195">
        <v>70</v>
      </c>
      <c r="E195" t="s">
        <v>7</v>
      </c>
      <c r="F195" t="s">
        <v>56</v>
      </c>
      <c r="G195" t="s">
        <v>9</v>
      </c>
      <c r="H195">
        <v>3.1</v>
      </c>
      <c r="I195" t="str">
        <f>VLOOKUP(H195,'Encoding Errors'!$A$2:$B$16,2,FALSE)</f>
        <v>In the system boundary, the authors of the study did not report an item the AI model wants to consider for completeness</v>
      </c>
    </row>
    <row r="196" spans="1:10" ht="30" x14ac:dyDescent="0.25">
      <c r="A196" s="1" t="s">
        <v>163</v>
      </c>
      <c r="B196" s="1" t="s">
        <v>28</v>
      </c>
      <c r="C196">
        <v>72.409638554216798</v>
      </c>
      <c r="D196">
        <v>73</v>
      </c>
      <c r="E196" t="s">
        <v>7</v>
      </c>
      <c r="F196" t="s">
        <v>8</v>
      </c>
      <c r="G196" t="s">
        <v>9</v>
      </c>
      <c r="H196">
        <v>3.1</v>
      </c>
      <c r="I196" t="str">
        <f>VLOOKUP(H196,'Encoding Errors'!$A$2:$B$16,2,FALSE)</f>
        <v>In the system boundary, the authors of the study did not report an item the AI model wants to consider for completeness</v>
      </c>
    </row>
    <row r="197" spans="1:10" ht="45" x14ac:dyDescent="0.25">
      <c r="A197" s="1" t="s">
        <v>150</v>
      </c>
      <c r="B197" s="1" t="s">
        <v>28</v>
      </c>
      <c r="C197">
        <v>72.409638554216798</v>
      </c>
      <c r="D197">
        <v>48</v>
      </c>
      <c r="E197" t="s">
        <v>7</v>
      </c>
      <c r="F197" t="s">
        <v>8</v>
      </c>
      <c r="G197" t="s">
        <v>9</v>
      </c>
      <c r="H197">
        <v>3.1</v>
      </c>
      <c r="I197" t="str">
        <f>VLOOKUP(H197,'Encoding Errors'!$A$2:$B$16,2,FALSE)</f>
        <v>In the system boundary, the authors of the study did not report an item the AI model wants to consider for completeness</v>
      </c>
    </row>
    <row r="198" spans="1:10" ht="30" x14ac:dyDescent="0.25">
      <c r="A198" t="s">
        <v>205</v>
      </c>
      <c r="B198" s="1" t="s">
        <v>53</v>
      </c>
      <c r="C198">
        <v>87.388535031847098</v>
      </c>
      <c r="D198">
        <v>74</v>
      </c>
      <c r="E198" t="s">
        <v>7</v>
      </c>
      <c r="F198" t="s">
        <v>56</v>
      </c>
      <c r="G198" t="s">
        <v>57</v>
      </c>
      <c r="H198">
        <v>3.1</v>
      </c>
      <c r="I198" t="str">
        <f>VLOOKUP(H198,'Encoding Errors'!$A$2:$B$16,2,FALSE)</f>
        <v>In the system boundary, the authors of the study did not report an item the AI model wants to consider for completeness</v>
      </c>
    </row>
    <row r="199" spans="1:10" ht="30" x14ac:dyDescent="0.25">
      <c r="A199" s="1" t="s">
        <v>230</v>
      </c>
      <c r="B199" s="1" t="s">
        <v>53</v>
      </c>
      <c r="C199">
        <v>87.388535031847098</v>
      </c>
      <c r="D199">
        <v>74</v>
      </c>
      <c r="E199" t="s">
        <v>7</v>
      </c>
      <c r="F199" t="s">
        <v>56</v>
      </c>
      <c r="G199" t="s">
        <v>9</v>
      </c>
      <c r="H199">
        <v>3.1</v>
      </c>
      <c r="I199" t="str">
        <f>VLOOKUP(H199,'Encoding Errors'!$A$2:$B$16,2,FALSE)</f>
        <v>In the system boundary, the authors of the study did not report an item the AI model wants to consider for completeness</v>
      </c>
    </row>
    <row r="200" spans="1:10" ht="30" x14ac:dyDescent="0.25">
      <c r="A200" t="s">
        <v>119</v>
      </c>
      <c r="B200" s="1" t="s">
        <v>55</v>
      </c>
      <c r="C200">
        <v>27.349397590361399</v>
      </c>
      <c r="D200">
        <v>79</v>
      </c>
      <c r="E200" t="s">
        <v>7</v>
      </c>
      <c r="F200" t="s">
        <v>8</v>
      </c>
      <c r="G200" t="s">
        <v>57</v>
      </c>
      <c r="H200">
        <v>3.2</v>
      </c>
      <c r="I200" t="str">
        <f>VLOOKUP(H200,'Encoding Errors'!$A$2:$B$16,2,FALSE)</f>
        <v>In the system boundary, the AI model does not want to report an item the authors of the study did report for completeness</v>
      </c>
    </row>
    <row r="201" spans="1:10" ht="30" x14ac:dyDescent="0.25">
      <c r="A201" t="s">
        <v>119</v>
      </c>
      <c r="B201" s="1" t="s">
        <v>33</v>
      </c>
      <c r="C201">
        <v>53.855421686746901</v>
      </c>
      <c r="D201">
        <v>79</v>
      </c>
      <c r="E201" t="s">
        <v>7</v>
      </c>
      <c r="F201" t="s">
        <v>8</v>
      </c>
      <c r="G201" t="s">
        <v>57</v>
      </c>
      <c r="H201">
        <v>3.2</v>
      </c>
      <c r="I201" t="str">
        <f>VLOOKUP(H201,'Encoding Errors'!$A$2:$B$16,2,FALSE)</f>
        <v>In the system boundary, the AI model does not want to report an item the authors of the study did report for completeness</v>
      </c>
    </row>
    <row r="202" spans="1:10" ht="60" x14ac:dyDescent="0.25">
      <c r="A202" s="1" t="s">
        <v>169</v>
      </c>
      <c r="B202" s="1" t="s">
        <v>33</v>
      </c>
      <c r="C202">
        <v>53.855421686746901</v>
      </c>
      <c r="D202">
        <v>79</v>
      </c>
      <c r="E202" t="s">
        <v>7</v>
      </c>
      <c r="F202" t="s">
        <v>8</v>
      </c>
      <c r="G202" t="s">
        <v>9</v>
      </c>
      <c r="H202">
        <v>3.2</v>
      </c>
      <c r="I202" t="str">
        <f>VLOOKUP(H202,'Encoding Errors'!$A$2:$B$16,2,FALSE)</f>
        <v>In the system boundary, the AI model does not want to report an item the authors of the study did report for completeness</v>
      </c>
    </row>
    <row r="203" spans="1:10" ht="60" x14ac:dyDescent="0.25">
      <c r="A203" s="1" t="s">
        <v>169</v>
      </c>
      <c r="B203" s="1" t="s">
        <v>14</v>
      </c>
      <c r="C203">
        <v>59.036144578313198</v>
      </c>
      <c r="D203">
        <v>79</v>
      </c>
      <c r="E203" t="s">
        <v>7</v>
      </c>
      <c r="F203" t="s">
        <v>8</v>
      </c>
      <c r="G203" t="s">
        <v>9</v>
      </c>
      <c r="H203">
        <v>3.1</v>
      </c>
      <c r="I203" t="str">
        <f>VLOOKUP(H203,'Encoding Errors'!$A$2:$B$16,2,FALSE)</f>
        <v>In the system boundary, the authors of the study did not report an item the AI model wants to consider for completeness</v>
      </c>
    </row>
    <row r="204" spans="1:10" ht="195" x14ac:dyDescent="0.25">
      <c r="A204" s="1" t="s">
        <v>96</v>
      </c>
      <c r="B204" t="s">
        <v>22</v>
      </c>
      <c r="C204">
        <v>73.493975903614398</v>
      </c>
      <c r="D204">
        <v>46</v>
      </c>
      <c r="E204" t="s">
        <v>21</v>
      </c>
      <c r="F204" t="s">
        <v>8</v>
      </c>
      <c r="G204" t="s">
        <v>57</v>
      </c>
      <c r="H204">
        <v>7</v>
      </c>
      <c r="I204" t="str">
        <f>VLOOKUP(H204,'Encoding Errors'!$A$2:$B$16,2,FALSE)</f>
        <v>RAG Added Misinformation</v>
      </c>
      <c r="J204" t="s">
        <v>251</v>
      </c>
    </row>
    <row r="205" spans="1:10" ht="150" x14ac:dyDescent="0.25">
      <c r="A205" s="1" t="s">
        <v>148</v>
      </c>
      <c r="B205" s="1" t="s">
        <v>22</v>
      </c>
      <c r="C205">
        <v>73.493975903614398</v>
      </c>
      <c r="D205">
        <v>46</v>
      </c>
      <c r="E205" t="s">
        <v>21</v>
      </c>
      <c r="F205" t="s">
        <v>8</v>
      </c>
      <c r="G205" t="s">
        <v>9</v>
      </c>
      <c r="H205">
        <v>2.2000000000000002</v>
      </c>
      <c r="I205" t="str">
        <f>VLOOKUP(H205,'Encoding Errors'!$A$2:$B$16,2,FALSE)</f>
        <v>In Allocation, chose economic when the humans chose a more specific label</v>
      </c>
      <c r="J205" t="s">
        <v>239</v>
      </c>
    </row>
    <row r="206" spans="1:10" ht="120" x14ac:dyDescent="0.25">
      <c r="A206" s="1" t="s">
        <v>97</v>
      </c>
      <c r="B206" t="s">
        <v>22</v>
      </c>
      <c r="C206">
        <v>73.493975903614398</v>
      </c>
      <c r="D206">
        <v>48</v>
      </c>
      <c r="E206" t="s">
        <v>21</v>
      </c>
      <c r="F206" t="s">
        <v>8</v>
      </c>
      <c r="G206" t="s">
        <v>57</v>
      </c>
      <c r="H206">
        <v>2.2000000000000002</v>
      </c>
      <c r="I206" t="str">
        <f>VLOOKUP(H206,'Encoding Errors'!$A$2:$B$16,2,FALSE)</f>
        <v>In Allocation, chose economic when the humans chose a more specific label</v>
      </c>
    </row>
    <row r="207" spans="1:10" ht="30" x14ac:dyDescent="0.25">
      <c r="A207" s="1" t="s">
        <v>155</v>
      </c>
      <c r="B207" s="1" t="s">
        <v>22</v>
      </c>
      <c r="C207">
        <v>73.493975903614398</v>
      </c>
      <c r="D207">
        <v>60</v>
      </c>
      <c r="E207" t="s">
        <v>21</v>
      </c>
      <c r="F207" t="s">
        <v>8</v>
      </c>
      <c r="G207" t="s">
        <v>9</v>
      </c>
      <c r="H207">
        <v>2.2000000000000002</v>
      </c>
      <c r="I207" t="str">
        <f>VLOOKUP(H207,'Encoding Errors'!$A$2:$B$16,2,FALSE)</f>
        <v>In Allocation, chose economic when the humans chose a more specific label</v>
      </c>
      <c r="J207" t="s">
        <v>244</v>
      </c>
    </row>
    <row r="208" spans="1:10" ht="60" x14ac:dyDescent="0.25">
      <c r="A208" s="1" t="s">
        <v>105</v>
      </c>
      <c r="B208" t="s">
        <v>22</v>
      </c>
      <c r="C208">
        <v>73.493975903614398</v>
      </c>
      <c r="D208">
        <v>60</v>
      </c>
      <c r="E208" t="s">
        <v>21</v>
      </c>
      <c r="F208" t="s">
        <v>8</v>
      </c>
      <c r="G208" t="s">
        <v>57</v>
      </c>
      <c r="H208">
        <v>2.2000000000000002</v>
      </c>
      <c r="I208" t="str">
        <f>VLOOKUP(H208,'Encoding Errors'!$A$2:$B$16,2,FALSE)</f>
        <v>In Allocation, chose economic when the humans chose a more specific label</v>
      </c>
    </row>
    <row r="209" spans="1:10" ht="150" x14ac:dyDescent="0.25">
      <c r="A209" s="1" t="s">
        <v>112</v>
      </c>
      <c r="B209" t="s">
        <v>22</v>
      </c>
      <c r="C209">
        <v>73.493975903614398</v>
      </c>
      <c r="D209">
        <v>69</v>
      </c>
      <c r="E209" t="s">
        <v>21</v>
      </c>
      <c r="F209" t="s">
        <v>8</v>
      </c>
      <c r="G209" t="s">
        <v>57</v>
      </c>
      <c r="H209">
        <v>7</v>
      </c>
      <c r="I209" t="str">
        <f>VLOOKUP(H209,'Encoding Errors'!$A$2:$B$16,2,FALSE)</f>
        <v>RAG Added Misinformation</v>
      </c>
      <c r="J209" t="s">
        <v>252</v>
      </c>
    </row>
    <row r="210" spans="1:10" ht="30" x14ac:dyDescent="0.25">
      <c r="A210" s="1" t="s">
        <v>160</v>
      </c>
      <c r="B210" s="1" t="s">
        <v>22</v>
      </c>
      <c r="C210">
        <v>73.493975903614398</v>
      </c>
      <c r="D210">
        <v>68</v>
      </c>
      <c r="E210" t="s">
        <v>21</v>
      </c>
      <c r="F210" t="s">
        <v>8</v>
      </c>
      <c r="G210" t="s">
        <v>9</v>
      </c>
      <c r="H210">
        <v>2.2000000000000002</v>
      </c>
      <c r="I210" t="str">
        <f>VLOOKUP(H210,'Encoding Errors'!$A$2:$B$16,2,FALSE)</f>
        <v>In Allocation, chose economic when the humans chose a more specific label</v>
      </c>
      <c r="J210" t="s">
        <v>240</v>
      </c>
    </row>
    <row r="211" spans="1:10" ht="30" x14ac:dyDescent="0.25">
      <c r="A211" s="1" t="s">
        <v>164</v>
      </c>
      <c r="B211" s="1" t="s">
        <v>22</v>
      </c>
      <c r="C211">
        <v>73.493975903614398</v>
      </c>
      <c r="D211">
        <v>73</v>
      </c>
      <c r="E211" t="s">
        <v>21</v>
      </c>
      <c r="F211" t="s">
        <v>8</v>
      </c>
      <c r="G211" t="s">
        <v>9</v>
      </c>
      <c r="H211">
        <v>2.2000000000000002</v>
      </c>
      <c r="I211" t="str">
        <f>VLOOKUP(H211,'Encoding Errors'!$A$2:$B$16,2,FALSE)</f>
        <v>In Allocation, chose economic when the humans chose a more specific label</v>
      </c>
      <c r="J211" t="s">
        <v>242</v>
      </c>
    </row>
    <row r="212" spans="1:10" ht="30" x14ac:dyDescent="0.25">
      <c r="A212" s="1" t="s">
        <v>165</v>
      </c>
      <c r="B212" s="1" t="s">
        <v>22</v>
      </c>
      <c r="C212">
        <v>73.493975903614398</v>
      </c>
      <c r="D212">
        <v>74</v>
      </c>
      <c r="E212" t="s">
        <v>21</v>
      </c>
      <c r="F212" t="s">
        <v>8</v>
      </c>
      <c r="G212" t="s">
        <v>9</v>
      </c>
      <c r="H212">
        <v>2.2000000000000002</v>
      </c>
      <c r="I212" t="str">
        <f>VLOOKUP(H212,'Encoding Errors'!$A$2:$B$16,2,FALSE)</f>
        <v>In Allocation, chose economic when the humans chose a more specific label</v>
      </c>
      <c r="J212" t="s">
        <v>243</v>
      </c>
    </row>
    <row r="213" spans="1:10" ht="30" x14ac:dyDescent="0.25">
      <c r="A213" s="1" t="s">
        <v>176</v>
      </c>
      <c r="B213" s="1" t="s">
        <v>22</v>
      </c>
      <c r="C213">
        <v>73.493975903614398</v>
      </c>
      <c r="D213">
        <v>95</v>
      </c>
      <c r="E213" t="s">
        <v>21</v>
      </c>
      <c r="F213" t="s">
        <v>8</v>
      </c>
      <c r="G213" t="s">
        <v>9</v>
      </c>
      <c r="H213">
        <v>2.2000000000000002</v>
      </c>
      <c r="I213" t="str">
        <f>VLOOKUP(H213,'Encoding Errors'!$A$2:$B$16,2,FALSE)</f>
        <v>In Allocation, chose economic when the humans chose a more specific label</v>
      </c>
      <c r="J213" t="s">
        <v>244</v>
      </c>
    </row>
    <row r="214" spans="1:10" ht="30" x14ac:dyDescent="0.25">
      <c r="A214" s="1" t="s">
        <v>178</v>
      </c>
      <c r="B214" s="1" t="s">
        <v>22</v>
      </c>
      <c r="C214">
        <v>73.493975903614398</v>
      </c>
      <c r="D214">
        <v>100</v>
      </c>
      <c r="E214" t="s">
        <v>21</v>
      </c>
      <c r="F214" t="s">
        <v>8</v>
      </c>
      <c r="G214" t="s">
        <v>9</v>
      </c>
      <c r="H214">
        <v>2.2000000000000002</v>
      </c>
      <c r="I214" t="str">
        <f>VLOOKUP(H214,'Encoding Errors'!$A$2:$B$16,2,FALSE)</f>
        <v>In Allocation, chose economic when the humans chose a more specific label</v>
      </c>
      <c r="J214" t="s">
        <v>245</v>
      </c>
    </row>
    <row r="215" spans="1:10" ht="90" x14ac:dyDescent="0.25">
      <c r="A215" s="1" t="s">
        <v>115</v>
      </c>
      <c r="B215" t="s">
        <v>22</v>
      </c>
      <c r="C215">
        <v>73.493975903614398</v>
      </c>
      <c r="D215">
        <v>73</v>
      </c>
      <c r="E215" t="s">
        <v>21</v>
      </c>
      <c r="F215" t="s">
        <v>8</v>
      </c>
      <c r="G215" t="s">
        <v>57</v>
      </c>
      <c r="H215">
        <v>2.2000000000000002</v>
      </c>
      <c r="I215" t="str">
        <f>VLOOKUP(H215,'Encoding Errors'!$A$2:$B$16,2,FALSE)</f>
        <v>In Allocation, chose economic when the humans chose a more specific label</v>
      </c>
    </row>
    <row r="216" spans="1:10" ht="75" x14ac:dyDescent="0.25">
      <c r="A216" s="1" t="s">
        <v>116</v>
      </c>
      <c r="B216" t="s">
        <v>22</v>
      </c>
      <c r="C216">
        <v>73.493975903614398</v>
      </c>
      <c r="D216">
        <v>74</v>
      </c>
      <c r="E216" t="s">
        <v>21</v>
      </c>
      <c r="F216" t="s">
        <v>8</v>
      </c>
      <c r="G216" t="s">
        <v>57</v>
      </c>
      <c r="H216">
        <v>2.2000000000000002</v>
      </c>
      <c r="I216" t="str">
        <f>VLOOKUP(H216,'Encoding Errors'!$A$2:$B$16,2,FALSE)</f>
        <v>In Allocation, chose economic when the humans chose a more specific label</v>
      </c>
    </row>
    <row r="217" spans="1:10" ht="60" x14ac:dyDescent="0.25">
      <c r="A217" s="1" t="s">
        <v>130</v>
      </c>
      <c r="B217" t="s">
        <v>22</v>
      </c>
      <c r="C217">
        <v>73.493975903614398</v>
      </c>
      <c r="D217">
        <v>95</v>
      </c>
      <c r="E217" t="s">
        <v>21</v>
      </c>
      <c r="F217" t="s">
        <v>8</v>
      </c>
      <c r="G217" t="s">
        <v>57</v>
      </c>
      <c r="H217">
        <v>2.2000000000000002</v>
      </c>
      <c r="I217" t="str">
        <f>VLOOKUP(H217,'Encoding Errors'!$A$2:$B$16,2,FALSE)</f>
        <v>In Allocation, chose economic when the humans chose a more specific label</v>
      </c>
    </row>
    <row r="218" spans="1:10" ht="30" x14ac:dyDescent="0.25">
      <c r="A218" t="s">
        <v>119</v>
      </c>
      <c r="B218" s="1" t="s">
        <v>14</v>
      </c>
      <c r="C218">
        <v>59.036144578313198</v>
      </c>
      <c r="D218">
        <v>79</v>
      </c>
      <c r="E218" t="s">
        <v>7</v>
      </c>
      <c r="F218" t="s">
        <v>8</v>
      </c>
      <c r="G218" t="s">
        <v>57</v>
      </c>
      <c r="H218">
        <v>3.1</v>
      </c>
      <c r="I218" t="str">
        <f>VLOOKUP(H218,'Encoding Errors'!$A$2:$B$16,2,FALSE)</f>
        <v>In the system boundary, the authors of the study did not report an item the AI model wants to consider for completeness</v>
      </c>
    </row>
    <row r="219" spans="1:10" ht="30" x14ac:dyDescent="0.25">
      <c r="A219" t="s">
        <v>125</v>
      </c>
      <c r="B219" s="1" t="s">
        <v>13</v>
      </c>
      <c r="C219">
        <v>54.337349397590302</v>
      </c>
      <c r="D219">
        <v>84</v>
      </c>
      <c r="E219" t="s">
        <v>7</v>
      </c>
      <c r="F219" t="s">
        <v>8</v>
      </c>
      <c r="G219" t="s">
        <v>57</v>
      </c>
      <c r="H219">
        <v>3.1</v>
      </c>
      <c r="I219" t="str">
        <f>VLOOKUP(H219,'Encoding Errors'!$A$2:$B$16,2,FALSE)</f>
        <v>In the system boundary, the authors of the study did not report an item the AI model wants to consider for completeness</v>
      </c>
    </row>
    <row r="220" spans="1:10" ht="30" x14ac:dyDescent="0.25">
      <c r="A220" s="1" t="s">
        <v>172</v>
      </c>
      <c r="B220" s="1" t="s">
        <v>13</v>
      </c>
      <c r="C220">
        <v>54.337349397590302</v>
      </c>
      <c r="D220">
        <v>84</v>
      </c>
      <c r="E220" t="s">
        <v>7</v>
      </c>
      <c r="F220" t="s">
        <v>8</v>
      </c>
      <c r="G220" t="s">
        <v>9</v>
      </c>
      <c r="H220">
        <v>3.1</v>
      </c>
      <c r="I220" t="str">
        <f>VLOOKUP(H220,'Encoding Errors'!$A$2:$B$16,2,FALSE)</f>
        <v>In the system boundary, the authors of the study did not report an item the AI model wants to consider for completeness</v>
      </c>
    </row>
    <row r="221" spans="1:10" ht="30" x14ac:dyDescent="0.25">
      <c r="A221" t="s">
        <v>127</v>
      </c>
      <c r="B221" s="1" t="s">
        <v>53</v>
      </c>
      <c r="C221">
        <v>53.855421686746901</v>
      </c>
      <c r="D221">
        <v>89</v>
      </c>
      <c r="E221" t="s">
        <v>7</v>
      </c>
      <c r="F221" t="s">
        <v>8</v>
      </c>
      <c r="G221" t="s">
        <v>57</v>
      </c>
      <c r="H221">
        <v>3.1</v>
      </c>
      <c r="I221" t="str">
        <f>VLOOKUP(H221,'Encoding Errors'!$A$2:$B$16,2,FALSE)</f>
        <v>In the system boundary, the authors of the study did not report an item the AI model wants to consider for completeness</v>
      </c>
    </row>
    <row r="222" spans="1:10" ht="75" x14ac:dyDescent="0.25">
      <c r="A222" s="1" t="s">
        <v>174</v>
      </c>
      <c r="B222" s="1" t="s">
        <v>53</v>
      </c>
      <c r="C222">
        <v>53.855421686746901</v>
      </c>
      <c r="D222">
        <v>89</v>
      </c>
      <c r="E222" t="s">
        <v>7</v>
      </c>
      <c r="F222" t="s">
        <v>8</v>
      </c>
      <c r="G222" t="s">
        <v>9</v>
      </c>
      <c r="H222">
        <v>3.1</v>
      </c>
      <c r="I222" t="str">
        <f>VLOOKUP(H222,'Encoding Errors'!$A$2:$B$16,2,FALSE)</f>
        <v>In the system boundary, the authors of the study did not report an item the AI model wants to consider for completeness</v>
      </c>
    </row>
    <row r="223" spans="1:10" ht="30" x14ac:dyDescent="0.25">
      <c r="A223" t="s">
        <v>132</v>
      </c>
      <c r="B223" s="1" t="s">
        <v>55</v>
      </c>
      <c r="C223">
        <v>27.349397590361399</v>
      </c>
      <c r="D223">
        <v>95</v>
      </c>
      <c r="E223" t="s">
        <v>7</v>
      </c>
      <c r="F223" t="s">
        <v>8</v>
      </c>
      <c r="G223" t="s">
        <v>57</v>
      </c>
      <c r="H223">
        <v>3.2</v>
      </c>
      <c r="I223" t="str">
        <f>VLOOKUP(H223,'Encoding Errors'!$A$2:$B$16,2,FALSE)</f>
        <v>In the system boundary, the AI model does not want to report an item the authors of the study did report for completeness</v>
      </c>
    </row>
    <row r="224" spans="1:10" ht="30" x14ac:dyDescent="0.25">
      <c r="A224" s="1" t="s">
        <v>177</v>
      </c>
      <c r="B224" s="1" t="s">
        <v>55</v>
      </c>
      <c r="C224">
        <v>27.349397590361399</v>
      </c>
      <c r="D224">
        <v>95</v>
      </c>
      <c r="E224" t="s">
        <v>7</v>
      </c>
      <c r="F224" t="s">
        <v>8</v>
      </c>
      <c r="G224" t="s">
        <v>9</v>
      </c>
      <c r="H224">
        <v>3.2</v>
      </c>
      <c r="I224" t="str">
        <f>VLOOKUP(H224,'Encoding Errors'!$A$2:$B$16,2,FALSE)</f>
        <v>In the system boundary, the AI model does not want to report an item the authors of the study did report for completeness</v>
      </c>
    </row>
    <row r="225" spans="1:9" ht="30" x14ac:dyDescent="0.25">
      <c r="A225" s="1" t="s">
        <v>232</v>
      </c>
      <c r="B225" s="1" t="s">
        <v>66</v>
      </c>
      <c r="C225">
        <v>25.2229299363057</v>
      </c>
      <c r="D225">
        <v>98</v>
      </c>
      <c r="E225" t="s">
        <v>7</v>
      </c>
      <c r="F225" t="s">
        <v>56</v>
      </c>
      <c r="G225" t="s">
        <v>9</v>
      </c>
      <c r="H225">
        <v>3.1</v>
      </c>
      <c r="I225" t="str">
        <f>VLOOKUP(H225,'Encoding Errors'!$A$2:$B$16,2,FALSE)</f>
        <v>In the system boundary, the authors of the study did not report an item the AI model wants to consider for completeness</v>
      </c>
    </row>
    <row r="226" spans="1:9" ht="30" x14ac:dyDescent="0.25">
      <c r="A226" t="s">
        <v>208</v>
      </c>
      <c r="B226" s="1" t="s">
        <v>28</v>
      </c>
      <c r="C226">
        <v>73.375796178343904</v>
      </c>
      <c r="D226">
        <v>98</v>
      </c>
      <c r="E226" t="s">
        <v>7</v>
      </c>
      <c r="F226" t="s">
        <v>56</v>
      </c>
      <c r="G226" t="s">
        <v>57</v>
      </c>
      <c r="H226">
        <v>3.1</v>
      </c>
      <c r="I226" t="str">
        <f>VLOOKUP(H226,'Encoding Errors'!$A$2:$B$16,2,FALSE)</f>
        <v>In the system boundary, the authors of the study did not report an item the AI model wants to consider for completeness</v>
      </c>
    </row>
    <row r="227" spans="1:9" ht="30" x14ac:dyDescent="0.25">
      <c r="A227" s="1" t="s">
        <v>232</v>
      </c>
      <c r="B227" s="1" t="s">
        <v>28</v>
      </c>
      <c r="C227">
        <v>73.375796178343904</v>
      </c>
      <c r="D227">
        <v>98</v>
      </c>
      <c r="E227" t="s">
        <v>7</v>
      </c>
      <c r="F227" t="s">
        <v>56</v>
      </c>
      <c r="G227" t="s">
        <v>9</v>
      </c>
      <c r="H227">
        <v>3.1</v>
      </c>
      <c r="I227" t="str">
        <f>VLOOKUP(H227,'Encoding Errors'!$A$2:$B$16,2,FALSE)</f>
        <v>In the system boundary, the authors of the study did not report an item the AI model wants to consider for completeness</v>
      </c>
    </row>
    <row r="228" spans="1:9" ht="30" x14ac:dyDescent="0.25">
      <c r="A228" t="s">
        <v>133</v>
      </c>
      <c r="B228" s="1" t="s">
        <v>67</v>
      </c>
      <c r="C228">
        <v>38.313253012048101</v>
      </c>
      <c r="D228">
        <v>101</v>
      </c>
      <c r="E228" t="s">
        <v>7</v>
      </c>
      <c r="F228" t="s">
        <v>8</v>
      </c>
      <c r="G228" t="s">
        <v>57</v>
      </c>
      <c r="H228">
        <v>3.1</v>
      </c>
      <c r="I228" t="str">
        <f>VLOOKUP(H228,'Encoding Errors'!$A$2:$B$16,2,FALSE)</f>
        <v>In the system boundary, the authors of the study did not report an item the AI model wants to consider for completeness</v>
      </c>
    </row>
    <row r="229" spans="1:9" ht="30" x14ac:dyDescent="0.25">
      <c r="A229" t="s">
        <v>133</v>
      </c>
      <c r="B229" s="1" t="s">
        <v>53</v>
      </c>
      <c r="C229">
        <v>53.855421686746901</v>
      </c>
      <c r="D229">
        <v>101</v>
      </c>
      <c r="E229" t="s">
        <v>7</v>
      </c>
      <c r="F229" t="s">
        <v>8</v>
      </c>
      <c r="G229" t="s">
        <v>57</v>
      </c>
      <c r="H229">
        <v>3.1</v>
      </c>
      <c r="I229" t="str">
        <f>VLOOKUP(H229,'Encoding Errors'!$A$2:$B$16,2,FALSE)</f>
        <v>In the system boundary, the authors of the study did not report an item the AI model wants to consider for completeness</v>
      </c>
    </row>
    <row r="230" spans="1:9" ht="30" x14ac:dyDescent="0.25">
      <c r="A230" s="1" t="s">
        <v>179</v>
      </c>
      <c r="B230" s="1" t="s">
        <v>53</v>
      </c>
      <c r="C230">
        <v>53.855421686746901</v>
      </c>
      <c r="D230">
        <v>101</v>
      </c>
      <c r="E230" t="s">
        <v>7</v>
      </c>
      <c r="F230" t="s">
        <v>8</v>
      </c>
      <c r="G230" t="s">
        <v>9</v>
      </c>
      <c r="H230">
        <v>3.1</v>
      </c>
      <c r="I230" t="str">
        <f>VLOOKUP(H230,'Encoding Errors'!$A$2:$B$16,2,FALSE)</f>
        <v>In the system boundary, the authors of the study did not report an item the AI model wants to consider for completeness</v>
      </c>
    </row>
    <row r="231" spans="1:9" ht="30" x14ac:dyDescent="0.25">
      <c r="A231" t="s">
        <v>133</v>
      </c>
      <c r="B231" s="1" t="s">
        <v>13</v>
      </c>
      <c r="C231">
        <v>54.337349397590302</v>
      </c>
      <c r="D231">
        <v>101</v>
      </c>
      <c r="E231" t="s">
        <v>7</v>
      </c>
      <c r="F231" t="s">
        <v>8</v>
      </c>
      <c r="G231" t="s">
        <v>57</v>
      </c>
      <c r="H231">
        <v>3.1</v>
      </c>
      <c r="I231" t="str">
        <f>VLOOKUP(H231,'Encoding Errors'!$A$2:$B$16,2,FALSE)</f>
        <v>In the system boundary, the authors of the study did not report an item the AI model wants to consider for completeness</v>
      </c>
    </row>
    <row r="232" spans="1:9" ht="30" x14ac:dyDescent="0.25">
      <c r="A232" s="1" t="s">
        <v>146</v>
      </c>
      <c r="B232" s="1" t="s">
        <v>18</v>
      </c>
      <c r="C232">
        <v>90.722891566265005</v>
      </c>
      <c r="D232">
        <v>40</v>
      </c>
      <c r="E232" t="s">
        <v>7</v>
      </c>
      <c r="F232" t="s">
        <v>8</v>
      </c>
      <c r="G232" t="s">
        <v>9</v>
      </c>
      <c r="H232">
        <v>1.4</v>
      </c>
      <c r="I232" t="str">
        <f>VLOOKUP(H232,'Encoding Errors'!$A$2:$B$16,2,FALSE)</f>
        <v>Label occurs &gt;90% of the time in training samples</v>
      </c>
    </row>
    <row r="233" spans="1:9" ht="45" x14ac:dyDescent="0.25">
      <c r="A233" s="1" t="s">
        <v>150</v>
      </c>
      <c r="B233" s="1" t="s">
        <v>18</v>
      </c>
      <c r="C233">
        <v>90.722891566265005</v>
      </c>
      <c r="D233">
        <v>48</v>
      </c>
      <c r="E233" t="s">
        <v>7</v>
      </c>
      <c r="F233" t="s">
        <v>8</v>
      </c>
      <c r="G233" t="s">
        <v>9</v>
      </c>
      <c r="H233">
        <v>1.4</v>
      </c>
      <c r="I233" t="str">
        <f>VLOOKUP(H233,'Encoding Errors'!$A$2:$B$16,2,FALSE)</f>
        <v>Label occurs &gt;90% of the time in training samples</v>
      </c>
    </row>
    <row r="234" spans="1:9" ht="75" x14ac:dyDescent="0.25">
      <c r="A234" s="1" t="s">
        <v>174</v>
      </c>
      <c r="B234" s="1" t="s">
        <v>52</v>
      </c>
      <c r="C234">
        <v>90.722891566265005</v>
      </c>
      <c r="D234">
        <v>89</v>
      </c>
      <c r="E234" t="s">
        <v>7</v>
      </c>
      <c r="F234" t="s">
        <v>8</v>
      </c>
      <c r="G234" t="s">
        <v>9</v>
      </c>
      <c r="H234">
        <v>1.4</v>
      </c>
      <c r="I234" t="str">
        <f>VLOOKUP(H234,'Encoding Errors'!$A$2:$B$16,2,FALSE)</f>
        <v>Label occurs &gt;90% of the time in training samples</v>
      </c>
    </row>
    <row r="235" spans="1:9" ht="30" x14ac:dyDescent="0.25">
      <c r="A235" t="s">
        <v>127</v>
      </c>
      <c r="B235" s="1" t="s">
        <v>52</v>
      </c>
      <c r="C235">
        <v>90.722891566265005</v>
      </c>
      <c r="D235">
        <v>89</v>
      </c>
      <c r="E235" t="s">
        <v>7</v>
      </c>
      <c r="F235" t="s">
        <v>8</v>
      </c>
      <c r="G235" t="s">
        <v>57</v>
      </c>
      <c r="H235">
        <v>1.4</v>
      </c>
      <c r="I235" t="str">
        <f>VLOOKUP(H235,'Encoding Errors'!$A$2:$B$16,2,FALSE)</f>
        <v>Label occurs &gt;90% of the time in training samples</v>
      </c>
    </row>
    <row r="236" spans="1:9" ht="45" x14ac:dyDescent="0.25">
      <c r="A236" s="1" t="s">
        <v>215</v>
      </c>
      <c r="B236" s="1" t="s">
        <v>18</v>
      </c>
      <c r="C236">
        <v>91.337579617834393</v>
      </c>
      <c r="D236">
        <v>38</v>
      </c>
      <c r="E236" t="s">
        <v>7</v>
      </c>
      <c r="F236" t="s">
        <v>56</v>
      </c>
      <c r="G236" t="s">
        <v>9</v>
      </c>
      <c r="H236">
        <v>1.4</v>
      </c>
      <c r="I236" t="str">
        <f>VLOOKUP(H236,'Encoding Errors'!$A$2:$B$16,2,FALSE)</f>
        <v>Label occurs &gt;90% of the time in training samples</v>
      </c>
    </row>
    <row r="237" spans="1:9" ht="30" x14ac:dyDescent="0.25">
      <c r="A237" t="s">
        <v>184</v>
      </c>
      <c r="B237" s="1" t="s">
        <v>18</v>
      </c>
      <c r="C237">
        <v>91.337579617834393</v>
      </c>
      <c r="D237">
        <v>15</v>
      </c>
      <c r="E237" t="s">
        <v>7</v>
      </c>
      <c r="F237" t="s">
        <v>56</v>
      </c>
      <c r="G237" t="s">
        <v>57</v>
      </c>
      <c r="H237">
        <v>1.4</v>
      </c>
      <c r="I237" t="str">
        <f>VLOOKUP(H237,'Encoding Errors'!$A$2:$B$16,2,FALSE)</f>
        <v>Label occurs &gt;90% of the time in training samples</v>
      </c>
    </row>
    <row r="238" spans="1:9" ht="30" x14ac:dyDescent="0.25">
      <c r="A238" t="s">
        <v>184</v>
      </c>
      <c r="B238" s="1" t="s">
        <v>18</v>
      </c>
      <c r="C238">
        <v>91.337579617834393</v>
      </c>
      <c r="D238">
        <v>20</v>
      </c>
      <c r="E238" t="s">
        <v>7</v>
      </c>
      <c r="F238" t="s">
        <v>56</v>
      </c>
      <c r="G238" t="s">
        <v>57</v>
      </c>
      <c r="H238">
        <v>1.4</v>
      </c>
      <c r="I238" t="str">
        <f>VLOOKUP(H238,'Encoding Errors'!$A$2:$B$16,2,FALSE)</f>
        <v>Label occurs &gt;90% of the time in training samples</v>
      </c>
    </row>
    <row r="239" spans="1:9" ht="30" x14ac:dyDescent="0.25">
      <c r="A239" t="s">
        <v>188</v>
      </c>
      <c r="B239" s="1" t="s">
        <v>18</v>
      </c>
      <c r="C239">
        <v>91.337579617834393</v>
      </c>
      <c r="D239">
        <v>38</v>
      </c>
      <c r="E239" t="s">
        <v>7</v>
      </c>
      <c r="F239" t="s">
        <v>56</v>
      </c>
      <c r="G239" t="s">
        <v>57</v>
      </c>
      <c r="H239">
        <v>1.4</v>
      </c>
      <c r="I239" t="str">
        <f>VLOOKUP(H239,'Encoding Errors'!$A$2:$B$16,2,FALSE)</f>
        <v>Label occurs &gt;90% of the time in training samples</v>
      </c>
    </row>
    <row r="240" spans="1:9" ht="30" x14ac:dyDescent="0.25">
      <c r="A240" s="1" t="s">
        <v>214</v>
      </c>
      <c r="B240" s="1" t="s">
        <v>16</v>
      </c>
      <c r="C240">
        <v>93.248407643312106</v>
      </c>
      <c r="D240">
        <v>37</v>
      </c>
      <c r="E240" t="s">
        <v>7</v>
      </c>
      <c r="F240" t="s">
        <v>56</v>
      </c>
      <c r="G240" t="s">
        <v>9</v>
      </c>
      <c r="H240">
        <v>1.4</v>
      </c>
      <c r="I240" t="str">
        <f>VLOOKUP(H240,'Encoding Errors'!$A$2:$B$16,2,FALSE)</f>
        <v>Label occurs &gt;90% of the time in training samples</v>
      </c>
    </row>
    <row r="241" spans="1:9" ht="30" x14ac:dyDescent="0.25">
      <c r="A241" t="s">
        <v>201</v>
      </c>
      <c r="B241" s="1" t="s">
        <v>64</v>
      </c>
      <c r="C241">
        <v>93.248407643312106</v>
      </c>
      <c r="D241">
        <v>68</v>
      </c>
      <c r="E241" t="s">
        <v>7</v>
      </c>
      <c r="F241" t="s">
        <v>56</v>
      </c>
      <c r="G241" t="s">
        <v>57</v>
      </c>
      <c r="H241">
        <v>1.4</v>
      </c>
      <c r="I241" t="str">
        <f>VLOOKUP(H241,'Encoding Errors'!$A$2:$B$16,2,FALSE)</f>
        <v>Label occurs &gt;90% of the time in training samples</v>
      </c>
    </row>
    <row r="242" spans="1:9" ht="30" x14ac:dyDescent="0.25">
      <c r="A242" s="1" t="s">
        <v>227</v>
      </c>
      <c r="B242" s="1" t="s">
        <v>64</v>
      </c>
      <c r="C242">
        <v>93.248407643312106</v>
      </c>
      <c r="D242">
        <v>68</v>
      </c>
      <c r="E242" t="s">
        <v>7</v>
      </c>
      <c r="F242" t="s">
        <v>56</v>
      </c>
      <c r="G242" t="s">
        <v>9</v>
      </c>
      <c r="H242">
        <v>1.4</v>
      </c>
      <c r="I242" t="str">
        <f>VLOOKUP(H242,'Encoding Errors'!$A$2:$B$16,2,FALSE)</f>
        <v>Label occurs &gt;90% of the time in training samples</v>
      </c>
    </row>
    <row r="243" spans="1:9" ht="30" x14ac:dyDescent="0.25">
      <c r="A243" s="1" t="s">
        <v>231</v>
      </c>
      <c r="B243" s="1" t="s">
        <v>16</v>
      </c>
      <c r="C243">
        <v>93.248407643312106</v>
      </c>
      <c r="D243">
        <v>85</v>
      </c>
      <c r="E243" t="s">
        <v>7</v>
      </c>
      <c r="F243" t="s">
        <v>56</v>
      </c>
      <c r="G243" t="s">
        <v>9</v>
      </c>
      <c r="H243">
        <v>1.4</v>
      </c>
      <c r="I243" t="str">
        <f>VLOOKUP(H243,'Encoding Errors'!$A$2:$B$16,2,FALSE)</f>
        <v>Label occurs &gt;90% of the time in training samples</v>
      </c>
    </row>
    <row r="244" spans="1:9" ht="30" x14ac:dyDescent="0.25">
      <c r="A244" s="1" t="s">
        <v>136</v>
      </c>
      <c r="B244" s="1" t="s">
        <v>6</v>
      </c>
      <c r="C244">
        <v>93.855421686746993</v>
      </c>
      <c r="D244">
        <v>0</v>
      </c>
      <c r="E244" t="s">
        <v>7</v>
      </c>
      <c r="F244" t="s">
        <v>8</v>
      </c>
      <c r="G244" t="s">
        <v>9</v>
      </c>
      <c r="H244">
        <v>1.4</v>
      </c>
      <c r="I244" t="str">
        <f>VLOOKUP(H244,'Encoding Errors'!$A$2:$B$16,2,FALSE)</f>
        <v>Label occurs &gt;90% of the time in training samples</v>
      </c>
    </row>
    <row r="245" spans="1:9" ht="30" x14ac:dyDescent="0.25">
      <c r="A245" s="1" t="s">
        <v>156</v>
      </c>
      <c r="B245" s="1" t="s">
        <v>6</v>
      </c>
      <c r="C245">
        <v>93.855421686746993</v>
      </c>
      <c r="D245">
        <v>60</v>
      </c>
      <c r="E245" t="s">
        <v>7</v>
      </c>
      <c r="F245" t="s">
        <v>8</v>
      </c>
      <c r="G245" t="s">
        <v>9</v>
      </c>
      <c r="H245">
        <v>1.4</v>
      </c>
      <c r="I245" t="str">
        <f>VLOOKUP(H245,'Encoding Errors'!$A$2:$B$16,2,FALSE)</f>
        <v>Label occurs &gt;90% of the time in training samples</v>
      </c>
    </row>
    <row r="246" spans="1:9" ht="30" x14ac:dyDescent="0.25">
      <c r="A246" t="s">
        <v>104</v>
      </c>
      <c r="B246" s="1" t="s">
        <v>6</v>
      </c>
      <c r="C246">
        <v>93.855421686746993</v>
      </c>
      <c r="D246">
        <v>60</v>
      </c>
      <c r="E246" t="s">
        <v>7</v>
      </c>
      <c r="F246" t="s">
        <v>8</v>
      </c>
      <c r="G246" t="s">
        <v>57</v>
      </c>
      <c r="H246">
        <v>1.4</v>
      </c>
      <c r="I246" t="str">
        <f>VLOOKUP(H246,'Encoding Errors'!$A$2:$B$16,2,FALSE)</f>
        <v>Label occurs &gt;90% of the time in training samples</v>
      </c>
    </row>
    <row r="247" spans="1:9" ht="45" x14ac:dyDescent="0.25">
      <c r="A247" s="1" t="s">
        <v>141</v>
      </c>
      <c r="B247" s="1" t="s">
        <v>16</v>
      </c>
      <c r="C247">
        <v>93.975903614457806</v>
      </c>
      <c r="D247">
        <v>23</v>
      </c>
      <c r="E247" t="s">
        <v>7</v>
      </c>
      <c r="F247" t="s">
        <v>8</v>
      </c>
      <c r="G247" t="s">
        <v>9</v>
      </c>
      <c r="H247">
        <v>1.4</v>
      </c>
      <c r="I247" t="str">
        <f>VLOOKUP(H247,'Encoding Errors'!$A$2:$B$16,2,FALSE)</f>
        <v>Label occurs &gt;90% of the time in training samples</v>
      </c>
    </row>
    <row r="248" spans="1:9" ht="30" x14ac:dyDescent="0.25">
      <c r="A248" s="1" t="s">
        <v>144</v>
      </c>
      <c r="B248" s="1" t="s">
        <v>16</v>
      </c>
      <c r="C248">
        <v>93.975903614457806</v>
      </c>
      <c r="D248">
        <v>30</v>
      </c>
      <c r="E248" t="s">
        <v>7</v>
      </c>
      <c r="F248" t="s">
        <v>8</v>
      </c>
      <c r="G248" t="s">
        <v>9</v>
      </c>
      <c r="H248">
        <v>1.4</v>
      </c>
      <c r="I248" t="str">
        <f>VLOOKUP(H248,'Encoding Errors'!$A$2:$B$16,2,FALSE)</f>
        <v>Label occurs &gt;90% of the time in training samples</v>
      </c>
    </row>
    <row r="249" spans="1:9" ht="30" x14ac:dyDescent="0.25">
      <c r="A249" s="1" t="s">
        <v>177</v>
      </c>
      <c r="B249" s="1" t="s">
        <v>16</v>
      </c>
      <c r="C249">
        <v>93.975903614457806</v>
      </c>
      <c r="D249">
        <v>95</v>
      </c>
      <c r="E249" t="s">
        <v>7</v>
      </c>
      <c r="F249" t="s">
        <v>8</v>
      </c>
      <c r="G249" t="s">
        <v>9</v>
      </c>
      <c r="H249">
        <v>1.4</v>
      </c>
      <c r="I249" t="str">
        <f>VLOOKUP(H249,'Encoding Errors'!$A$2:$B$16,2,FALSE)</f>
        <v>Label occurs &gt;90% of the time in training samples</v>
      </c>
    </row>
    <row r="250" spans="1:9" ht="30" x14ac:dyDescent="0.25">
      <c r="A250" t="s">
        <v>88</v>
      </c>
      <c r="B250" s="1" t="s">
        <v>16</v>
      </c>
      <c r="C250">
        <v>93.975903614457806</v>
      </c>
      <c r="D250">
        <v>23</v>
      </c>
      <c r="E250" t="s">
        <v>7</v>
      </c>
      <c r="F250" t="s">
        <v>8</v>
      </c>
      <c r="G250" t="s">
        <v>57</v>
      </c>
      <c r="H250">
        <v>1.4</v>
      </c>
      <c r="I250" t="str">
        <f>VLOOKUP(H250,'Encoding Errors'!$A$2:$B$16,2,FALSE)</f>
        <v>Label occurs &gt;90% of the time in training samples</v>
      </c>
    </row>
    <row r="251" spans="1:9" ht="30" x14ac:dyDescent="0.25">
      <c r="A251" t="s">
        <v>91</v>
      </c>
      <c r="B251" s="1" t="s">
        <v>16</v>
      </c>
      <c r="C251">
        <v>93.975903614457806</v>
      </c>
      <c r="D251">
        <v>30</v>
      </c>
      <c r="E251" t="s">
        <v>7</v>
      </c>
      <c r="F251" t="s">
        <v>8</v>
      </c>
      <c r="G251" t="s">
        <v>57</v>
      </c>
      <c r="H251">
        <v>1.4</v>
      </c>
      <c r="I251" t="str">
        <f>VLOOKUP(H251,'Encoding Errors'!$A$2:$B$16,2,FALSE)</f>
        <v>Label occurs &gt;90% of the time in training samples</v>
      </c>
    </row>
    <row r="252" spans="1:9" ht="30" x14ac:dyDescent="0.25">
      <c r="A252" t="s">
        <v>132</v>
      </c>
      <c r="B252" s="1" t="s">
        <v>16</v>
      </c>
      <c r="C252">
        <v>93.975903614457806</v>
      </c>
      <c r="D252">
        <v>95</v>
      </c>
      <c r="E252" t="s">
        <v>7</v>
      </c>
      <c r="F252" t="s">
        <v>8</v>
      </c>
      <c r="G252" t="s">
        <v>57</v>
      </c>
      <c r="H252">
        <v>1.4</v>
      </c>
      <c r="I252" t="str">
        <f>VLOOKUP(H252,'Encoding Errors'!$A$2:$B$16,2,FALSE)</f>
        <v>Label occurs &gt;90% of the time in training samples</v>
      </c>
    </row>
    <row r="253" spans="1:9" ht="30" x14ac:dyDescent="0.25">
      <c r="A253" t="s">
        <v>134</v>
      </c>
      <c r="B253" s="1" t="s">
        <v>16</v>
      </c>
      <c r="C253">
        <v>93.975903614457806</v>
      </c>
      <c r="D253">
        <v>103</v>
      </c>
      <c r="E253" t="s">
        <v>7</v>
      </c>
      <c r="F253" t="s">
        <v>8</v>
      </c>
      <c r="G253" t="s">
        <v>57</v>
      </c>
      <c r="H253">
        <v>1.4</v>
      </c>
      <c r="I253" t="str">
        <f>VLOOKUP(H253,'Encoding Errors'!$A$2:$B$16,2,FALSE)</f>
        <v>Label occurs &gt;90% of the time in training samples</v>
      </c>
    </row>
    <row r="254" spans="1:9" ht="30" x14ac:dyDescent="0.25">
      <c r="A254" t="s">
        <v>98</v>
      </c>
      <c r="B254" s="1" t="s">
        <v>70</v>
      </c>
      <c r="C254">
        <v>94.578313253011999</v>
      </c>
      <c r="D254">
        <v>48</v>
      </c>
      <c r="E254" t="s">
        <v>7</v>
      </c>
      <c r="F254" t="s">
        <v>8</v>
      </c>
      <c r="G254" t="s">
        <v>57</v>
      </c>
      <c r="H254">
        <v>1.4</v>
      </c>
      <c r="I254" t="str">
        <f>VLOOKUP(H254,'Encoding Errors'!$A$2:$B$16,2,FALSE)</f>
        <v>Label occurs &gt;90% of the time in training samples</v>
      </c>
    </row>
    <row r="255" spans="1:9" ht="45" x14ac:dyDescent="0.25">
      <c r="A255" s="1" t="s">
        <v>215</v>
      </c>
      <c r="B255" s="1" t="s">
        <v>40</v>
      </c>
      <c r="C255">
        <v>94.777070063694197</v>
      </c>
      <c r="D255">
        <v>38</v>
      </c>
      <c r="E255" t="s">
        <v>7</v>
      </c>
      <c r="F255" t="s">
        <v>56</v>
      </c>
      <c r="G255" t="s">
        <v>9</v>
      </c>
      <c r="H255">
        <v>1.4</v>
      </c>
      <c r="I255" t="str">
        <f>VLOOKUP(H255,'Encoding Errors'!$A$2:$B$16,2,FALSE)</f>
        <v>Label occurs &gt;90% of the time in training samples</v>
      </c>
    </row>
    <row r="256" spans="1:9" ht="30" x14ac:dyDescent="0.25">
      <c r="A256" t="s">
        <v>188</v>
      </c>
      <c r="B256" s="1" t="s">
        <v>40</v>
      </c>
      <c r="C256">
        <v>94.777070063694197</v>
      </c>
      <c r="D256">
        <v>38</v>
      </c>
      <c r="E256" t="s">
        <v>7</v>
      </c>
      <c r="F256" t="s">
        <v>56</v>
      </c>
      <c r="G256" t="s">
        <v>57</v>
      </c>
      <c r="H256">
        <v>1.4</v>
      </c>
      <c r="I256" t="str">
        <f>VLOOKUP(H256,'Encoding Errors'!$A$2:$B$16,2,FALSE)</f>
        <v>Label occurs &gt;90% of the time in training samples</v>
      </c>
    </row>
    <row r="257" spans="1:10" ht="45" x14ac:dyDescent="0.25">
      <c r="A257" s="1" t="s">
        <v>150</v>
      </c>
      <c r="B257" s="1" t="s">
        <v>26</v>
      </c>
      <c r="C257">
        <v>94.939759036144494</v>
      </c>
      <c r="D257">
        <v>48</v>
      </c>
      <c r="E257" t="s">
        <v>7</v>
      </c>
      <c r="F257" t="s">
        <v>8</v>
      </c>
      <c r="G257" t="s">
        <v>9</v>
      </c>
      <c r="H257">
        <v>1.4</v>
      </c>
      <c r="I257" t="str">
        <f>VLOOKUP(H257,'Encoding Errors'!$A$2:$B$16,2,FALSE)</f>
        <v>Label occurs &gt;90% of the time in training samples</v>
      </c>
    </row>
    <row r="258" spans="1:10" ht="30" x14ac:dyDescent="0.25">
      <c r="A258" t="s">
        <v>92</v>
      </c>
      <c r="B258" s="1" t="s">
        <v>26</v>
      </c>
      <c r="C258">
        <v>94.939759036144494</v>
      </c>
      <c r="D258">
        <v>31</v>
      </c>
      <c r="E258" t="s">
        <v>7</v>
      </c>
      <c r="F258" t="s">
        <v>8</v>
      </c>
      <c r="G258" t="s">
        <v>57</v>
      </c>
      <c r="H258">
        <v>1.4</v>
      </c>
      <c r="I258" t="str">
        <f>VLOOKUP(H258,'Encoding Errors'!$A$2:$B$16,2,FALSE)</f>
        <v>Label occurs &gt;90% of the time in training samples</v>
      </c>
    </row>
    <row r="259" spans="1:10" ht="30" x14ac:dyDescent="0.25">
      <c r="A259" s="1" t="s">
        <v>163</v>
      </c>
      <c r="B259" s="1" t="s">
        <v>40</v>
      </c>
      <c r="C259">
        <v>95.060240963855406</v>
      </c>
      <c r="D259">
        <v>73</v>
      </c>
      <c r="E259" t="s">
        <v>7</v>
      </c>
      <c r="F259" t="s">
        <v>8</v>
      </c>
      <c r="G259" t="s">
        <v>9</v>
      </c>
      <c r="H259">
        <v>1.4</v>
      </c>
      <c r="I259" t="str">
        <f>VLOOKUP(H259,'Encoding Errors'!$A$2:$B$16,2,FALSE)</f>
        <v>Label occurs &gt;90% of the time in training samples</v>
      </c>
    </row>
    <row r="260" spans="1:10" ht="30" x14ac:dyDescent="0.25">
      <c r="A260" s="1" t="s">
        <v>179</v>
      </c>
      <c r="B260" s="1" t="s">
        <v>40</v>
      </c>
      <c r="C260">
        <v>95.060240963855406</v>
      </c>
      <c r="D260">
        <v>101</v>
      </c>
      <c r="E260" t="s">
        <v>7</v>
      </c>
      <c r="F260" t="s">
        <v>8</v>
      </c>
      <c r="G260" t="s">
        <v>9</v>
      </c>
      <c r="H260">
        <v>1.4</v>
      </c>
      <c r="I260" t="str">
        <f>VLOOKUP(H260,'Encoding Errors'!$A$2:$B$16,2,FALSE)</f>
        <v>Label occurs &gt;90% of the time in training samples</v>
      </c>
    </row>
    <row r="261" spans="1:10" ht="30" x14ac:dyDescent="0.25">
      <c r="A261" t="s">
        <v>114</v>
      </c>
      <c r="B261" s="1" t="s">
        <v>40</v>
      </c>
      <c r="C261">
        <v>95.060240963855406</v>
      </c>
      <c r="D261">
        <v>73</v>
      </c>
      <c r="E261" t="s">
        <v>7</v>
      </c>
      <c r="F261" t="s">
        <v>8</v>
      </c>
      <c r="G261" t="s">
        <v>57</v>
      </c>
      <c r="H261">
        <v>1.4</v>
      </c>
      <c r="I261" t="str">
        <f>VLOOKUP(H261,'Encoding Errors'!$A$2:$B$16,2,FALSE)</f>
        <v>Label occurs &gt;90% of the time in training samples</v>
      </c>
    </row>
    <row r="262" spans="1:10" ht="30" x14ac:dyDescent="0.25">
      <c r="A262" t="s">
        <v>133</v>
      </c>
      <c r="B262" s="1" t="s">
        <v>40</v>
      </c>
      <c r="C262">
        <v>95.060240963855406</v>
      </c>
      <c r="D262">
        <v>101</v>
      </c>
      <c r="E262" t="s">
        <v>7</v>
      </c>
      <c r="F262" t="s">
        <v>8</v>
      </c>
      <c r="G262" t="s">
        <v>57</v>
      </c>
      <c r="H262">
        <v>1.4</v>
      </c>
      <c r="I262" t="str">
        <f>VLOOKUP(H262,'Encoding Errors'!$A$2:$B$16,2,FALSE)</f>
        <v>Label occurs &gt;90% of the time in training samples</v>
      </c>
    </row>
    <row r="263" spans="1:10" ht="60" x14ac:dyDescent="0.25">
      <c r="A263" s="1" t="s">
        <v>171</v>
      </c>
      <c r="B263" s="1" t="s">
        <v>10</v>
      </c>
      <c r="C263">
        <v>54.4578313253012</v>
      </c>
      <c r="D263">
        <v>84</v>
      </c>
      <c r="E263" t="s">
        <v>11</v>
      </c>
      <c r="F263" t="s">
        <v>8</v>
      </c>
      <c r="G263" t="s">
        <v>9</v>
      </c>
      <c r="H263">
        <v>8.1</v>
      </c>
      <c r="I263" t="str">
        <f>VLOOKUP(H263,'Encoding Errors'!$A$2:$B$16,2,FALSE)</f>
        <v>In FU, labeler only includes relative while AI model adds other categories</v>
      </c>
    </row>
    <row r="264" spans="1:10" ht="75" x14ac:dyDescent="0.25">
      <c r="A264" s="1" t="s">
        <v>173</v>
      </c>
      <c r="B264" s="1" t="s">
        <v>36</v>
      </c>
      <c r="C264">
        <v>10</v>
      </c>
      <c r="D264">
        <v>85</v>
      </c>
      <c r="E264" t="s">
        <v>11</v>
      </c>
      <c r="F264" t="s">
        <v>8</v>
      </c>
      <c r="G264" t="s">
        <v>9</v>
      </c>
      <c r="H264">
        <v>5</v>
      </c>
      <c r="I264" t="str">
        <f>VLOOKUP(H264,'Encoding Errors'!$A$2:$B$16,2,FALSE)</f>
        <v>AI model has justifiable response</v>
      </c>
      <c r="J264" t="s">
        <v>267</v>
      </c>
    </row>
    <row r="265" spans="1:10" ht="60" x14ac:dyDescent="0.25">
      <c r="A265" s="1" t="s">
        <v>175</v>
      </c>
      <c r="B265" s="1" t="s">
        <v>54</v>
      </c>
      <c r="C265">
        <v>16.867469879518001</v>
      </c>
      <c r="D265">
        <v>92</v>
      </c>
      <c r="E265" t="s">
        <v>11</v>
      </c>
      <c r="F265" t="s">
        <v>8</v>
      </c>
      <c r="G265" t="s">
        <v>9</v>
      </c>
      <c r="H265">
        <v>8.1999999999999993</v>
      </c>
      <c r="I265" t="str">
        <f>VLOOKUP(H265,'Encoding Errors'!$A$2:$B$16,2,FALSE)</f>
        <v>In FU, AI model confuses cold carcass weight, cold dressed carcass weight, and liveweight</v>
      </c>
    </row>
    <row r="266" spans="1:10" ht="150" x14ac:dyDescent="0.25">
      <c r="A266" s="1" t="s">
        <v>128</v>
      </c>
      <c r="B266" s="1" t="s">
        <v>54</v>
      </c>
      <c r="C266">
        <v>16.867469879518001</v>
      </c>
      <c r="D266">
        <v>92</v>
      </c>
      <c r="E266" t="s">
        <v>11</v>
      </c>
      <c r="F266" t="s">
        <v>8</v>
      </c>
      <c r="G266" t="s">
        <v>57</v>
      </c>
      <c r="H266">
        <v>8.1999999999999993</v>
      </c>
      <c r="I266" t="str">
        <f>VLOOKUP(H266,'Encoding Errors'!$A$2:$B$16,2,FALSE)</f>
        <v>In FU, AI model confuses cold carcass weight, cold dressed carcass weight, and liveweight</v>
      </c>
    </row>
    <row r="267" spans="1:10" ht="135" x14ac:dyDescent="0.25">
      <c r="A267" s="1" t="s">
        <v>131</v>
      </c>
      <c r="B267" s="1" t="s">
        <v>19</v>
      </c>
      <c r="C267">
        <v>10</v>
      </c>
      <c r="D267">
        <v>95</v>
      </c>
      <c r="E267" t="s">
        <v>11</v>
      </c>
      <c r="F267" t="s">
        <v>8</v>
      </c>
      <c r="G267" t="s">
        <v>57</v>
      </c>
      <c r="H267">
        <v>4</v>
      </c>
      <c r="I267" t="str">
        <f>VLOOKUP(H267,'Encoding Errors'!$A$2:$B$16,2,FALSE)</f>
        <v>AI model likely incorrect</v>
      </c>
    </row>
    <row r="268" spans="1:10" ht="135" x14ac:dyDescent="0.25">
      <c r="A268" s="1" t="s">
        <v>131</v>
      </c>
      <c r="B268" s="1" t="s">
        <v>32</v>
      </c>
      <c r="C268">
        <v>11.084337349397501</v>
      </c>
      <c r="D268">
        <v>95</v>
      </c>
      <c r="E268" t="s">
        <v>11</v>
      </c>
      <c r="F268" t="s">
        <v>8</v>
      </c>
      <c r="G268" t="s">
        <v>57</v>
      </c>
      <c r="H268">
        <v>4</v>
      </c>
      <c r="I268" t="str">
        <f>VLOOKUP(H268,'Encoding Errors'!$A$2:$B$16,2,FALSE)</f>
        <v>AI model likely incorrect</v>
      </c>
    </row>
    <row r="269" spans="1:10" x14ac:dyDescent="0.25">
      <c r="A269" t="s">
        <v>187</v>
      </c>
      <c r="B269" t="s">
        <v>17</v>
      </c>
      <c r="C269">
        <v>96.050955414012705</v>
      </c>
      <c r="D269">
        <v>38</v>
      </c>
      <c r="E269" t="s">
        <v>11</v>
      </c>
      <c r="F269" t="s">
        <v>56</v>
      </c>
      <c r="G269" t="s">
        <v>57</v>
      </c>
      <c r="H269">
        <v>1.4</v>
      </c>
      <c r="I269" t="str">
        <f>VLOOKUP(H269,'Encoding Errors'!$A$2:$B$16,2,FALSE)</f>
        <v>Label occurs &gt;90% of the time in training samples</v>
      </c>
    </row>
    <row r="270" spans="1:10" ht="60" x14ac:dyDescent="0.25">
      <c r="A270" s="1" t="s">
        <v>151</v>
      </c>
      <c r="B270" s="1" t="s">
        <v>30</v>
      </c>
      <c r="C270">
        <v>96.265060240963805</v>
      </c>
      <c r="D270">
        <v>53</v>
      </c>
      <c r="E270" t="s">
        <v>7</v>
      </c>
      <c r="F270" t="s">
        <v>8</v>
      </c>
      <c r="G270" t="s">
        <v>9</v>
      </c>
      <c r="H270">
        <v>1.4</v>
      </c>
      <c r="I270" t="str">
        <f>VLOOKUP(H270,'Encoding Errors'!$A$2:$B$16,2,FALSE)</f>
        <v>Label occurs &gt;90% of the time in training samples</v>
      </c>
    </row>
    <row r="271" spans="1:10" ht="30" x14ac:dyDescent="0.25">
      <c r="A271" s="1" t="s">
        <v>163</v>
      </c>
      <c r="B271" s="1" t="s">
        <v>30</v>
      </c>
      <c r="C271">
        <v>96.265060240963805</v>
      </c>
      <c r="D271">
        <v>73</v>
      </c>
      <c r="E271" t="s">
        <v>7</v>
      </c>
      <c r="F271" t="s">
        <v>8</v>
      </c>
      <c r="G271" t="s">
        <v>9</v>
      </c>
      <c r="H271">
        <v>1.4</v>
      </c>
      <c r="I271" t="str">
        <f>VLOOKUP(H271,'Encoding Errors'!$A$2:$B$16,2,FALSE)</f>
        <v>Label occurs &gt;90% of the time in training samples</v>
      </c>
    </row>
    <row r="272" spans="1:10" ht="30" x14ac:dyDescent="0.25">
      <c r="A272" s="1" t="s">
        <v>167</v>
      </c>
      <c r="B272" s="1" t="s">
        <v>30</v>
      </c>
      <c r="C272">
        <v>96.265060240963805</v>
      </c>
      <c r="D272">
        <v>78</v>
      </c>
      <c r="E272" t="s">
        <v>7</v>
      </c>
      <c r="F272" t="s">
        <v>8</v>
      </c>
      <c r="G272" t="s">
        <v>9</v>
      </c>
      <c r="H272">
        <v>1.4</v>
      </c>
      <c r="I272" t="str">
        <f>VLOOKUP(H272,'Encoding Errors'!$A$2:$B$16,2,FALSE)</f>
        <v>Label occurs &gt;90% of the time in training samples</v>
      </c>
    </row>
    <row r="273" spans="1:9" ht="30" x14ac:dyDescent="0.25">
      <c r="A273" t="s">
        <v>99</v>
      </c>
      <c r="B273" s="1" t="s">
        <v>30</v>
      </c>
      <c r="C273">
        <v>96.265060240963805</v>
      </c>
      <c r="D273">
        <v>53</v>
      </c>
      <c r="E273" t="s">
        <v>7</v>
      </c>
      <c r="F273" t="s">
        <v>8</v>
      </c>
      <c r="G273" t="s">
        <v>57</v>
      </c>
      <c r="H273">
        <v>1.4</v>
      </c>
      <c r="I273" t="str">
        <f>VLOOKUP(H273,'Encoding Errors'!$A$2:$B$16,2,FALSE)</f>
        <v>Label occurs &gt;90% of the time in training samples</v>
      </c>
    </row>
    <row r="274" spans="1:9" ht="45" x14ac:dyDescent="0.25">
      <c r="A274" s="1" t="s">
        <v>215</v>
      </c>
      <c r="B274" s="1" t="s">
        <v>30</v>
      </c>
      <c r="C274">
        <v>96.942675159235606</v>
      </c>
      <c r="D274">
        <v>38</v>
      </c>
      <c r="E274" t="s">
        <v>7</v>
      </c>
      <c r="F274" t="s">
        <v>56</v>
      </c>
      <c r="G274" t="s">
        <v>9</v>
      </c>
      <c r="H274">
        <v>1.4</v>
      </c>
      <c r="I274" t="str">
        <f>VLOOKUP(H274,'Encoding Errors'!$A$2:$B$16,2,FALSE)</f>
        <v>Label occurs &gt;90% of the time in training samples</v>
      </c>
    </row>
    <row r="275" spans="1:9" ht="30" x14ac:dyDescent="0.25">
      <c r="A275" t="s">
        <v>188</v>
      </c>
      <c r="B275" s="1" t="s">
        <v>30</v>
      </c>
      <c r="C275">
        <v>96.942675159235606</v>
      </c>
      <c r="D275">
        <v>38</v>
      </c>
      <c r="E275" t="s">
        <v>7</v>
      </c>
      <c r="F275" t="s">
        <v>56</v>
      </c>
      <c r="G275" t="s">
        <v>57</v>
      </c>
      <c r="H275">
        <v>1.4</v>
      </c>
      <c r="I275" t="str">
        <f>VLOOKUP(H275,'Encoding Errors'!$A$2:$B$16,2,FALSE)</f>
        <v>Label occurs &gt;90% of the time in training samples</v>
      </c>
    </row>
    <row r="276" spans="1:9" ht="30" x14ac:dyDescent="0.25">
      <c r="A276" s="1" t="s">
        <v>223</v>
      </c>
      <c r="B276" s="1" t="s">
        <v>63</v>
      </c>
      <c r="C276">
        <v>99.235668789808898</v>
      </c>
      <c r="D276">
        <v>58</v>
      </c>
      <c r="E276" t="s">
        <v>7</v>
      </c>
      <c r="F276" t="s">
        <v>56</v>
      </c>
      <c r="G276" t="s">
        <v>9</v>
      </c>
      <c r="H276">
        <v>1.4</v>
      </c>
      <c r="I276" t="str">
        <f>VLOOKUP(H276,'Encoding Errors'!$A$2:$B$16,2,FALSE)</f>
        <v>Label occurs &gt;90% of the time in training samples</v>
      </c>
    </row>
    <row r="277" spans="1:9" ht="30" x14ac:dyDescent="0.25">
      <c r="A277" t="s">
        <v>196</v>
      </c>
      <c r="B277" s="1" t="s">
        <v>63</v>
      </c>
      <c r="C277">
        <v>99.235668789808898</v>
      </c>
      <c r="D277">
        <v>58</v>
      </c>
      <c r="E277" t="s">
        <v>7</v>
      </c>
      <c r="F277" t="s">
        <v>56</v>
      </c>
      <c r="G277" t="s">
        <v>57</v>
      </c>
      <c r="H277">
        <v>1.4</v>
      </c>
      <c r="I277" t="str">
        <f>VLOOKUP(H277,'Encoding Errors'!$A$2:$B$16,2,FALSE)</f>
        <v>Label occurs &gt;90% of the time in training samples</v>
      </c>
    </row>
  </sheetData>
  <autoFilter ref="A1:J277" xr:uid="{00000000-0001-0000-0000-000000000000}">
    <sortState xmlns:xlrd2="http://schemas.microsoft.com/office/spreadsheetml/2017/richdata2" ref="A73:J265">
      <sortCondition ref="D1:D27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CB28B-CC9F-4671-8502-6BD53C4F1E92}">
  <dimension ref="A1:O16"/>
  <sheetViews>
    <sheetView topLeftCell="B4" workbookViewId="0">
      <selection activeCell="O6" sqref="O6"/>
    </sheetView>
  </sheetViews>
  <sheetFormatPr defaultRowHeight="15" x14ac:dyDescent="0.25"/>
  <sheetData>
    <row r="1" spans="1:15" x14ac:dyDescent="0.25">
      <c r="A1" t="s">
        <v>74</v>
      </c>
      <c r="O1" t="s">
        <v>254</v>
      </c>
    </row>
    <row r="2" spans="1:15" x14ac:dyDescent="0.25">
      <c r="A2">
        <v>1.1000000000000001</v>
      </c>
      <c r="B2" t="s">
        <v>75</v>
      </c>
      <c r="O2" t="s">
        <v>255</v>
      </c>
    </row>
    <row r="3" spans="1:15" x14ac:dyDescent="0.25">
      <c r="A3">
        <v>1.2</v>
      </c>
      <c r="B3" t="s">
        <v>77</v>
      </c>
      <c r="O3" t="s">
        <v>256</v>
      </c>
    </row>
    <row r="4" spans="1:15" x14ac:dyDescent="0.25">
      <c r="A4">
        <v>1.3</v>
      </c>
      <c r="B4" t="s">
        <v>76</v>
      </c>
      <c r="O4" t="s">
        <v>266</v>
      </c>
    </row>
    <row r="5" spans="1:15" x14ac:dyDescent="0.25">
      <c r="A5">
        <v>1.4</v>
      </c>
      <c r="B5" t="s">
        <v>253</v>
      </c>
      <c r="O5" t="s">
        <v>277</v>
      </c>
    </row>
    <row r="6" spans="1:15" x14ac:dyDescent="0.25">
      <c r="A6">
        <v>2.1</v>
      </c>
      <c r="B6" t="s">
        <v>246</v>
      </c>
    </row>
    <row r="7" spans="1:15" x14ac:dyDescent="0.25">
      <c r="A7">
        <v>2.2000000000000002</v>
      </c>
      <c r="B7" t="s">
        <v>247</v>
      </c>
    </row>
    <row r="8" spans="1:15" x14ac:dyDescent="0.25">
      <c r="A8">
        <v>3.1</v>
      </c>
      <c r="B8" t="s">
        <v>236</v>
      </c>
    </row>
    <row r="9" spans="1:15" x14ac:dyDescent="0.25">
      <c r="A9">
        <v>3.2</v>
      </c>
      <c r="B9" t="s">
        <v>237</v>
      </c>
    </row>
    <row r="10" spans="1:15" x14ac:dyDescent="0.25">
      <c r="A10">
        <v>4</v>
      </c>
      <c r="B10" t="s">
        <v>78</v>
      </c>
    </row>
    <row r="11" spans="1:15" x14ac:dyDescent="0.25">
      <c r="A11">
        <v>5</v>
      </c>
      <c r="B11" t="s">
        <v>79</v>
      </c>
    </row>
    <row r="12" spans="1:15" x14ac:dyDescent="0.25">
      <c r="A12">
        <v>6</v>
      </c>
      <c r="B12" t="s">
        <v>80</v>
      </c>
    </row>
    <row r="13" spans="1:15" x14ac:dyDescent="0.25">
      <c r="A13">
        <v>7</v>
      </c>
      <c r="B13" t="s">
        <v>233</v>
      </c>
    </row>
    <row r="14" spans="1:15" x14ac:dyDescent="0.25">
      <c r="A14">
        <v>8.1</v>
      </c>
      <c r="B14" t="s">
        <v>261</v>
      </c>
    </row>
    <row r="15" spans="1:15" x14ac:dyDescent="0.25">
      <c r="A15">
        <v>8.1999999999999993</v>
      </c>
      <c r="B15" t="s">
        <v>262</v>
      </c>
    </row>
    <row r="16" spans="1:15" x14ac:dyDescent="0.25">
      <c r="A16">
        <v>9</v>
      </c>
      <c r="B16"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Errors</vt:lpstr>
      <vt:lpstr>Encoding Errors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dc:creator>
  <cp:lastModifiedBy>Nathan Preuss</cp:lastModifiedBy>
  <dcterms:created xsi:type="dcterms:W3CDTF">2015-06-05T18:17:20Z</dcterms:created>
  <dcterms:modified xsi:type="dcterms:W3CDTF">2026-04-06T12:51:14Z</dcterms:modified>
</cp:coreProperties>
</file>