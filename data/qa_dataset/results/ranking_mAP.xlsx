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tha\PycharmProjects\llm-goal-scope\data\qa_dataset\results\"/>
    </mc:Choice>
  </mc:AlternateContent>
  <xr:revisionPtr revIDLastSave="0" documentId="13_ncr:1_{D143D009-7002-447D-B116-D38BEB2A19BC}" xr6:coauthVersionLast="47" xr6:coauthVersionMax="47" xr10:uidLastSave="{00000000-0000-0000-0000-000000000000}"/>
  <bookViews>
    <workbookView xWindow="14295" yWindow="0" windowWidth="14610" windowHeight="17385" xr2:uid="{D25027FC-FC27-47EF-8BDA-CB9196E40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3" i="1"/>
  <c r="W20" i="1"/>
  <c r="AB21" i="1"/>
  <c r="AB20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19" i="1"/>
  <c r="O5" i="1"/>
  <c r="T7" i="1"/>
  <c r="T8" i="1"/>
  <c r="T6" i="1"/>
  <c r="T5" i="1"/>
  <c r="T4" i="1"/>
  <c r="T3" i="1"/>
  <c r="O8" i="1"/>
  <c r="O9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O4" i="1"/>
  <c r="O6" i="1"/>
  <c r="D33" i="1"/>
  <c r="E33" i="1"/>
  <c r="F33" i="1"/>
  <c r="G33" i="1"/>
  <c r="H33" i="1"/>
  <c r="I33" i="1"/>
  <c r="J33" i="1"/>
  <c r="D32" i="1"/>
  <c r="E32" i="1"/>
  <c r="F32" i="1"/>
  <c r="G32" i="1"/>
  <c r="H32" i="1"/>
  <c r="I32" i="1"/>
  <c r="J32" i="1"/>
  <c r="D31" i="1"/>
  <c r="E31" i="1"/>
  <c r="F31" i="1"/>
  <c r="G31" i="1"/>
  <c r="H31" i="1"/>
  <c r="I31" i="1"/>
  <c r="J31" i="1"/>
  <c r="D30" i="1"/>
  <c r="E30" i="1"/>
  <c r="F30" i="1"/>
  <c r="G30" i="1"/>
  <c r="H30" i="1"/>
  <c r="I30" i="1"/>
  <c r="J30" i="1"/>
  <c r="D29" i="1"/>
  <c r="E29" i="1"/>
  <c r="F29" i="1"/>
  <c r="G29" i="1"/>
  <c r="H29" i="1"/>
  <c r="I29" i="1"/>
  <c r="J29" i="1"/>
  <c r="D28" i="1"/>
  <c r="E28" i="1"/>
  <c r="F28" i="1"/>
  <c r="G28" i="1"/>
  <c r="H28" i="1"/>
  <c r="I28" i="1"/>
  <c r="J28" i="1"/>
  <c r="D27" i="1"/>
  <c r="E27" i="1"/>
  <c r="F27" i="1"/>
  <c r="G27" i="1"/>
  <c r="H27" i="1"/>
  <c r="I27" i="1"/>
  <c r="J27" i="1"/>
  <c r="D26" i="1"/>
  <c r="E26" i="1"/>
  <c r="F26" i="1"/>
  <c r="G26" i="1"/>
  <c r="H26" i="1"/>
  <c r="I26" i="1"/>
  <c r="J26" i="1"/>
  <c r="D25" i="1"/>
  <c r="E25" i="1"/>
  <c r="F25" i="1"/>
  <c r="G25" i="1"/>
  <c r="H25" i="1"/>
  <c r="I25" i="1"/>
  <c r="J25" i="1"/>
  <c r="D24" i="1"/>
  <c r="E24" i="1"/>
  <c r="F24" i="1"/>
  <c r="G24" i="1"/>
  <c r="H24" i="1"/>
  <c r="I24" i="1"/>
  <c r="J24" i="1"/>
  <c r="D23" i="1"/>
  <c r="E23" i="1"/>
  <c r="F23" i="1"/>
  <c r="G23" i="1"/>
  <c r="H23" i="1"/>
  <c r="I23" i="1"/>
  <c r="J23" i="1"/>
  <c r="D22" i="1"/>
  <c r="E22" i="1"/>
  <c r="F22" i="1"/>
  <c r="G22" i="1"/>
  <c r="H22" i="1"/>
  <c r="I22" i="1"/>
  <c r="J22" i="1"/>
  <c r="D21" i="1"/>
  <c r="E21" i="1"/>
  <c r="F21" i="1"/>
  <c r="G21" i="1"/>
  <c r="H21" i="1"/>
  <c r="I21" i="1"/>
  <c r="J21" i="1"/>
  <c r="E20" i="1"/>
  <c r="F20" i="1"/>
  <c r="G20" i="1"/>
  <c r="H20" i="1"/>
  <c r="H34" i="1" s="1"/>
  <c r="I20" i="1"/>
  <c r="J20" i="1"/>
  <c r="D20" i="1"/>
  <c r="I34" i="1" l="1"/>
  <c r="G34" i="1"/>
  <c r="J34" i="1"/>
  <c r="J35" i="1" s="1"/>
  <c r="D34" i="1"/>
  <c r="F34" i="1"/>
  <c r="E34" i="1"/>
  <c r="H35" i="1" l="1"/>
  <c r="F35" i="1"/>
  <c r="E35" i="1"/>
  <c r="I35" i="1"/>
  <c r="D35" i="1"/>
  <c r="G35" i="1"/>
</calcChain>
</file>

<file path=xl/sharedStrings.xml><?xml version="1.0" encoding="utf-8"?>
<sst xmlns="http://schemas.openxmlformats.org/spreadsheetml/2006/main" count="191" uniqueCount="36">
  <si>
    <t>Dataset</t>
  </si>
  <si>
    <t>RAG</t>
  </si>
  <si>
    <t>Task</t>
  </si>
  <si>
    <t>Environmental</t>
  </si>
  <si>
    <t>BERT-base</t>
  </si>
  <si>
    <t>roberta-large</t>
  </si>
  <si>
    <t>distilroberta-base-climate-f</t>
  </si>
  <si>
    <t>bert-base-uncased</t>
  </si>
  <si>
    <t>deberta-v3-base</t>
  </si>
  <si>
    <t>deberta-v3-large</t>
  </si>
  <si>
    <t>deberta-v3-small</t>
  </si>
  <si>
    <t>Original</t>
  </si>
  <si>
    <t>No</t>
  </si>
  <si>
    <t>Allocation</t>
  </si>
  <si>
    <t>Functional Unit</t>
  </si>
  <si>
    <t>Product of Interest</t>
  </si>
  <si>
    <t>System Boundary</t>
  </si>
  <si>
    <t>Yes</t>
  </si>
  <si>
    <t>Standardized</t>
  </si>
  <si>
    <t>Average Ranking</t>
  </si>
  <si>
    <t>Rank of Average Rank</t>
  </si>
  <si>
    <t>RAG Test</t>
  </si>
  <si>
    <t>Standardized Test</t>
  </si>
  <si>
    <t>t-test value</t>
  </si>
  <si>
    <t>No RAG</t>
  </si>
  <si>
    <t>T-Test</t>
  </si>
  <si>
    <t>Model</t>
  </si>
  <si>
    <t>Maximum mAP</t>
  </si>
  <si>
    <t>Environmental-BERT-base</t>
  </si>
  <si>
    <t>ESGBERT/EnvironmentalBERT-base</t>
  </si>
  <si>
    <t>FacebookAI/roberta-large</t>
  </si>
  <si>
    <t>climatebert/distilroberta-base-climate-f</t>
  </si>
  <si>
    <t>google-bert/bert-base-uncased</t>
  </si>
  <si>
    <t>microsoft/deberta-v3-base</t>
  </si>
  <si>
    <t>microsoft/deberta-v3-large</t>
  </si>
  <si>
    <t>microsoft/deberta-v3-small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</si>
</sst>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BFBFBF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BFBFBF"/>
      </top>
      <bottom/>
      <diagonal/>
    </border>
    <border>
      <left/>
      <right/>
      <top style="medium">
        <color rgb="FF80808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D3B7-B81B-47D0-9AD4-22DBA1CA522C}">
  <dimension ref="A1:AB35"/>
  <sheetViews>
    <sheetView tabSelected="1" topLeftCell="A5" workbookViewId="0">
      <selection activeCell="AB20" sqref="AB20:AB33"/>
    </sheetView>
  </sheetViews>
  <sheetFormatPr defaultRowHeight="15" x14ac:dyDescent="0.25"/>
  <cols>
    <col min="4" max="4" width="10.140625" bestFit="1" customWidth="1"/>
    <col min="13" max="13" width="12.5703125" bestFit="1" customWidth="1"/>
    <col min="14" max="15" width="17.42578125" bestFit="1" customWidth="1"/>
    <col min="22" max="22" width="15" bestFit="1" customWidth="1"/>
  </cols>
  <sheetData>
    <row r="1" spans="1:27" ht="16.5" thickTop="1" x14ac:dyDescent="0.25">
      <c r="A1" s="27" t="s">
        <v>0</v>
      </c>
      <c r="B1" s="27" t="s">
        <v>1</v>
      </c>
      <c r="C1" s="20" t="s">
        <v>2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s="2"/>
      <c r="R1" t="s">
        <v>22</v>
      </c>
      <c r="W1" s="27" t="s">
        <v>0</v>
      </c>
      <c r="X1" s="27" t="s">
        <v>1</v>
      </c>
      <c r="Y1" s="29" t="s">
        <v>2</v>
      </c>
    </row>
    <row r="2" spans="1:27" ht="16.5" thickBot="1" x14ac:dyDescent="0.3">
      <c r="A2" s="28"/>
      <c r="B2" s="28"/>
      <c r="C2" s="21"/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2"/>
      <c r="N2" t="s">
        <v>21</v>
      </c>
      <c r="O2" t="s">
        <v>23</v>
      </c>
      <c r="R2" t="s">
        <v>23</v>
      </c>
      <c r="W2" s="28"/>
      <c r="X2" s="28"/>
      <c r="Y2" s="30"/>
      <c r="Z2" t="s">
        <v>27</v>
      </c>
      <c r="AA2" t="s">
        <v>26</v>
      </c>
    </row>
    <row r="3" spans="1:27" ht="17.25" thickTop="1" thickBot="1" x14ac:dyDescent="0.3">
      <c r="A3" s="31" t="s">
        <v>11</v>
      </c>
      <c r="B3" s="31" t="s">
        <v>12</v>
      </c>
      <c r="C3" s="1" t="s">
        <v>13</v>
      </c>
      <c r="D3" s="36">
        <v>0.78060871876661297</v>
      </c>
      <c r="E3" s="36">
        <v>0.58300264550264502</v>
      </c>
      <c r="F3" s="36">
        <v>0.804593070104754</v>
      </c>
      <c r="G3" s="36">
        <v>0.70246422893481697</v>
      </c>
      <c r="H3" s="36">
        <v>0.822072072072072</v>
      </c>
      <c r="I3" s="36">
        <v>0.65131578947368396</v>
      </c>
      <c r="J3" s="36">
        <v>0.79793828697938196</v>
      </c>
      <c r="K3" s="6"/>
      <c r="M3" s="35" t="s">
        <v>11</v>
      </c>
      <c r="N3" s="1" t="s">
        <v>13</v>
      </c>
      <c r="O3" s="19">
        <f>_xlfn.T.TEST(D3:J3,D7:J7,2,1)</f>
        <v>0.22361051900129461</v>
      </c>
      <c r="Q3" s="35" t="s">
        <v>24</v>
      </c>
      <c r="R3" s="1" t="s">
        <v>14</v>
      </c>
      <c r="T3" s="19">
        <f>_xlfn.T.TEST(D4:J4,D11:J11,2,1)</f>
        <v>2.7364997224834504E-2</v>
      </c>
      <c r="V3" s="35"/>
      <c r="W3" s="31" t="s">
        <v>11</v>
      </c>
      <c r="X3" s="31" t="s">
        <v>12</v>
      </c>
      <c r="Y3" s="1" t="s">
        <v>13</v>
      </c>
      <c r="Z3">
        <f>MAX(D3:J3)</f>
        <v>0.822072072072072</v>
      </c>
      <c r="AA3" s="20" t="s">
        <v>8</v>
      </c>
    </row>
    <row r="4" spans="1:27" ht="17.25" thickTop="1" thickBot="1" x14ac:dyDescent="0.3">
      <c r="A4" s="23"/>
      <c r="B4" s="23"/>
      <c r="C4" s="1" t="s">
        <v>14</v>
      </c>
      <c r="D4" s="36">
        <v>0.61399931473219804</v>
      </c>
      <c r="E4" s="36">
        <v>0.62939369296105496</v>
      </c>
      <c r="F4" s="36">
        <v>0.55447800271088599</v>
      </c>
      <c r="G4" s="36">
        <v>0.60237628384687203</v>
      </c>
      <c r="H4" s="36">
        <v>0.58621226268285098</v>
      </c>
      <c r="I4" s="36">
        <v>0.61350659618686099</v>
      </c>
      <c r="J4" s="36">
        <v>0.51599384973171303</v>
      </c>
      <c r="K4" s="2"/>
      <c r="M4" s="35"/>
      <c r="N4" s="1" t="s">
        <v>14</v>
      </c>
      <c r="O4" s="19">
        <f t="shared" ref="O4:O6" si="0">_xlfn.T.TEST(D4:J4,D8:J8,2,1)</f>
        <v>0.56216013992292602</v>
      </c>
      <c r="Q4" s="35"/>
      <c r="R4" s="1" t="s">
        <v>15</v>
      </c>
      <c r="T4" s="19">
        <f>_xlfn.T.TEST(D5:J5,D12:J12,2,1)</f>
        <v>2.48412124166407E-6</v>
      </c>
      <c r="V4" s="35"/>
      <c r="W4" s="23"/>
      <c r="X4" s="23"/>
      <c r="Y4" s="1" t="s">
        <v>14</v>
      </c>
      <c r="Z4">
        <f t="shared" ref="Z4:Z16" si="1">MAX(D4:J4)</f>
        <v>0.62939369296105496</v>
      </c>
      <c r="AA4" s="20" t="s">
        <v>5</v>
      </c>
    </row>
    <row r="5" spans="1:27" ht="17.25" thickTop="1" thickBot="1" x14ac:dyDescent="0.3">
      <c r="A5" s="23"/>
      <c r="B5" s="23"/>
      <c r="C5" s="1" t="s">
        <v>15</v>
      </c>
      <c r="D5" s="36">
        <v>0.51472222222222197</v>
      </c>
      <c r="E5" s="36">
        <v>0.51805555555555505</v>
      </c>
      <c r="F5" s="36">
        <v>0.51555555555555499</v>
      </c>
      <c r="G5" s="36">
        <v>0.51638888888888801</v>
      </c>
      <c r="H5" s="36">
        <v>0.52194444444444399</v>
      </c>
      <c r="I5" s="36">
        <v>0.51944444444444404</v>
      </c>
      <c r="J5" s="36">
        <v>0.51022222222222202</v>
      </c>
      <c r="K5" s="2"/>
      <c r="M5" s="35"/>
      <c r="N5" s="1" t="s">
        <v>15</v>
      </c>
      <c r="O5" s="19">
        <f>_xlfn.T.TEST(D5:J5,D9:J9,2,1)</f>
        <v>4.4812269605668378E-2</v>
      </c>
      <c r="Q5" s="35"/>
      <c r="R5" s="7" t="s">
        <v>16</v>
      </c>
      <c r="T5" s="19">
        <f>_xlfn.T.TEST(D6:J6,D13:J13,2,1)</f>
        <v>1.8757927132676169E-2</v>
      </c>
      <c r="V5" s="35"/>
      <c r="W5" s="23"/>
      <c r="X5" s="23"/>
      <c r="Y5" s="1" t="s">
        <v>15</v>
      </c>
      <c r="Z5">
        <f t="shared" si="1"/>
        <v>0.52194444444444399</v>
      </c>
      <c r="AA5" s="20" t="s">
        <v>8</v>
      </c>
    </row>
    <row r="6" spans="1:27" ht="17.25" thickTop="1" thickBot="1" x14ac:dyDescent="0.3">
      <c r="A6" s="23"/>
      <c r="B6" s="24"/>
      <c r="C6" s="7" t="s">
        <v>16</v>
      </c>
      <c r="D6" s="36">
        <v>0.97477685444490803</v>
      </c>
      <c r="E6" s="36">
        <v>0.94501955544642302</v>
      </c>
      <c r="F6" s="36">
        <v>0.94534569209015995</v>
      </c>
      <c r="G6" s="36">
        <v>0.96911734238066005</v>
      </c>
      <c r="H6" s="36">
        <v>0.93152219423916904</v>
      </c>
      <c r="I6" s="36">
        <v>0.95446660958732699</v>
      </c>
      <c r="J6" s="36">
        <v>0.94679965915643804</v>
      </c>
      <c r="K6" s="2"/>
      <c r="M6" s="35"/>
      <c r="N6" s="7" t="s">
        <v>16</v>
      </c>
      <c r="O6" s="19">
        <f t="shared" si="0"/>
        <v>0.2737058712852562</v>
      </c>
      <c r="Q6" s="35" t="s">
        <v>1</v>
      </c>
      <c r="R6" s="1" t="s">
        <v>14</v>
      </c>
      <c r="T6" s="19">
        <f>_xlfn.T.TEST(D8:J8,D14:J14,2,1)</f>
        <v>0.83972429370163293</v>
      </c>
      <c r="V6" s="35"/>
      <c r="W6" s="23"/>
      <c r="X6" s="24"/>
      <c r="Y6" s="7" t="s">
        <v>16</v>
      </c>
      <c r="Z6">
        <f t="shared" si="1"/>
        <v>0.97477685444490803</v>
      </c>
      <c r="AA6" s="20" t="s">
        <v>7</v>
      </c>
    </row>
    <row r="7" spans="1:27" ht="17.25" thickTop="1" thickBot="1" x14ac:dyDescent="0.3">
      <c r="A7" s="23"/>
      <c r="B7" s="25" t="s">
        <v>17</v>
      </c>
      <c r="C7" s="1" t="s">
        <v>13</v>
      </c>
      <c r="D7" s="36">
        <v>0.67620160267219098</v>
      </c>
      <c r="E7" s="36">
        <v>0.70097908913698304</v>
      </c>
      <c r="F7" s="36">
        <v>0.69777777777777705</v>
      </c>
      <c r="G7" s="36">
        <v>0.79837461300309498</v>
      </c>
      <c r="H7" s="36">
        <v>0.59746212121212094</v>
      </c>
      <c r="I7" s="36">
        <v>0.110576923076923</v>
      </c>
      <c r="J7" s="36">
        <v>0.76025132275132201</v>
      </c>
      <c r="K7" s="5"/>
      <c r="M7" s="35" t="s">
        <v>18</v>
      </c>
      <c r="N7" s="1" t="s">
        <v>14</v>
      </c>
      <c r="O7" s="19">
        <f>_xlfn.T.TEST(D11:J11,D14:J14,2,1)</f>
        <v>6.6932394955836636E-3</v>
      </c>
      <c r="Q7" s="35"/>
      <c r="R7" s="1" t="s">
        <v>15</v>
      </c>
      <c r="T7" s="19">
        <f t="shared" ref="T7:T8" si="2">_xlfn.T.TEST(D9:J9,D15:J15,2,1)</f>
        <v>2.4684695804556842E-6</v>
      </c>
      <c r="W7" s="23"/>
      <c r="X7" s="25" t="s">
        <v>17</v>
      </c>
      <c r="Y7" s="1" t="s">
        <v>13</v>
      </c>
      <c r="Z7">
        <f t="shared" si="1"/>
        <v>0.79837461300309498</v>
      </c>
      <c r="AA7" s="20" t="s">
        <v>10</v>
      </c>
    </row>
    <row r="8" spans="1:27" ht="17.25" thickTop="1" thickBot="1" x14ac:dyDescent="0.3">
      <c r="A8" s="23"/>
      <c r="B8" s="23"/>
      <c r="C8" s="1" t="s">
        <v>14</v>
      </c>
      <c r="D8" s="36">
        <v>0.60753871455462305</v>
      </c>
      <c r="E8" s="36">
        <v>0.53450155730192095</v>
      </c>
      <c r="F8" s="36">
        <v>0.53108362107148499</v>
      </c>
      <c r="G8" s="36">
        <v>0.61772502268789697</v>
      </c>
      <c r="H8" s="36">
        <v>0.544195848156244</v>
      </c>
      <c r="I8" s="36">
        <v>0.57252238295848801</v>
      </c>
      <c r="J8" s="36">
        <v>0.61200956244566795</v>
      </c>
      <c r="K8" s="6"/>
      <c r="M8" s="35"/>
      <c r="N8" s="1" t="s">
        <v>15</v>
      </c>
      <c r="O8" s="19">
        <f t="shared" ref="O8:O9" si="3">_xlfn.T.TEST(D12:J12,D15:J15,2,1)</f>
        <v>0.97579504118008287</v>
      </c>
      <c r="Q8" s="35"/>
      <c r="R8" s="7" t="s">
        <v>16</v>
      </c>
      <c r="T8" s="19">
        <f t="shared" si="2"/>
        <v>3.3807876781668952E-2</v>
      </c>
      <c r="W8" s="23"/>
      <c r="X8" s="23"/>
      <c r="Y8" s="1" t="s">
        <v>14</v>
      </c>
      <c r="Z8">
        <f t="shared" si="1"/>
        <v>0.61772502268789697</v>
      </c>
      <c r="AA8" s="20" t="s">
        <v>7</v>
      </c>
    </row>
    <row r="9" spans="1:27" ht="17.25" thickTop="1" thickBot="1" x14ac:dyDescent="0.3">
      <c r="A9" s="23"/>
      <c r="B9" s="23"/>
      <c r="C9" s="1" t="s">
        <v>15</v>
      </c>
      <c r="D9" s="36">
        <v>0.51105555555555504</v>
      </c>
      <c r="E9" s="36">
        <v>0.51188888888888895</v>
      </c>
      <c r="F9" s="36">
        <v>0.49870689655172401</v>
      </c>
      <c r="G9" s="36">
        <v>0.503</v>
      </c>
      <c r="H9" s="36">
        <v>0.52361111111111103</v>
      </c>
      <c r="I9" s="36">
        <v>0.517777777777777</v>
      </c>
      <c r="J9" s="36">
        <v>0.50633333333333297</v>
      </c>
      <c r="K9" s="2"/>
      <c r="M9" s="35"/>
      <c r="N9" s="7" t="s">
        <v>16</v>
      </c>
      <c r="O9" s="19">
        <f t="shared" si="3"/>
        <v>0.78571786436059654</v>
      </c>
      <c r="W9" s="23"/>
      <c r="X9" s="23"/>
      <c r="Y9" s="1" t="s">
        <v>15</v>
      </c>
      <c r="Z9">
        <f t="shared" si="1"/>
        <v>0.52361111111111103</v>
      </c>
      <c r="AA9" s="20" t="s">
        <v>8</v>
      </c>
    </row>
    <row r="10" spans="1:27" ht="17.25" thickTop="1" thickBot="1" x14ac:dyDescent="0.3">
      <c r="A10" s="32"/>
      <c r="B10" s="32"/>
      <c r="C10" s="11" t="s">
        <v>16</v>
      </c>
      <c r="D10" s="36">
        <v>0.94657742209679596</v>
      </c>
      <c r="E10" s="36">
        <v>0.96316154924443398</v>
      </c>
      <c r="F10" s="36">
        <v>0.93226904503487396</v>
      </c>
      <c r="G10" s="36">
        <v>0.95588696587349797</v>
      </c>
      <c r="H10" s="36">
        <v>0.91574002165593205</v>
      </c>
      <c r="I10" s="36">
        <v>0.97579114891973695</v>
      </c>
      <c r="J10" s="36">
        <v>0.90263428562341297</v>
      </c>
      <c r="K10" s="2"/>
      <c r="W10" s="32"/>
      <c r="X10" s="32"/>
      <c r="Y10" s="11" t="s">
        <v>16</v>
      </c>
      <c r="Z10">
        <f t="shared" si="1"/>
        <v>0.97579114891973695</v>
      </c>
      <c r="AA10" s="20" t="s">
        <v>9</v>
      </c>
    </row>
    <row r="11" spans="1:27" ht="17.25" thickTop="1" thickBot="1" x14ac:dyDescent="0.3">
      <c r="A11" s="22" t="s">
        <v>18</v>
      </c>
      <c r="B11" s="22" t="s">
        <v>12</v>
      </c>
      <c r="C11" s="1" t="s">
        <v>14</v>
      </c>
      <c r="D11" s="36">
        <v>0.65436354869816704</v>
      </c>
      <c r="E11" s="36">
        <v>0.606339869281045</v>
      </c>
      <c r="F11" s="36">
        <v>0.66059139784946197</v>
      </c>
      <c r="G11" s="36">
        <v>0.65501792114695301</v>
      </c>
      <c r="H11" s="36">
        <v>0.65606605765874104</v>
      </c>
      <c r="I11" s="36">
        <v>0.63836917562724005</v>
      </c>
      <c r="J11" s="36">
        <v>0.65630402698713897</v>
      </c>
      <c r="K11" s="2"/>
      <c r="W11" s="22" t="s">
        <v>18</v>
      </c>
      <c r="X11" s="22" t="s">
        <v>12</v>
      </c>
      <c r="Y11" s="1" t="s">
        <v>14</v>
      </c>
      <c r="Z11">
        <f t="shared" si="1"/>
        <v>0.66059139784946197</v>
      </c>
      <c r="AA11" s="3" t="s">
        <v>28</v>
      </c>
    </row>
    <row r="12" spans="1:27" ht="17.25" thickTop="1" thickBot="1" x14ac:dyDescent="0.3">
      <c r="A12" s="23"/>
      <c r="B12" s="23"/>
      <c r="C12" s="1" t="s">
        <v>15</v>
      </c>
      <c r="D12" s="36">
        <v>0.62653061224489803</v>
      </c>
      <c r="E12" s="36">
        <v>0.628571428571428</v>
      </c>
      <c r="F12" s="36">
        <v>0.62653061224489803</v>
      </c>
      <c r="G12" s="36">
        <v>0.62121925693354196</v>
      </c>
      <c r="H12" s="36">
        <v>0.59020408163265303</v>
      </c>
      <c r="I12" s="36">
        <v>0.62240973312401804</v>
      </c>
      <c r="J12" s="36">
        <v>0.60476190476190395</v>
      </c>
      <c r="K12" s="2"/>
      <c r="W12" s="23"/>
      <c r="X12" s="23"/>
      <c r="Y12" s="1" t="s">
        <v>15</v>
      </c>
      <c r="Z12">
        <f t="shared" si="1"/>
        <v>0.628571428571428</v>
      </c>
      <c r="AA12" s="20" t="s">
        <v>5</v>
      </c>
    </row>
    <row r="13" spans="1:27" ht="17.25" thickTop="1" thickBot="1" x14ac:dyDescent="0.3">
      <c r="A13" s="23"/>
      <c r="B13" s="24"/>
      <c r="C13" s="7" t="s">
        <v>16</v>
      </c>
      <c r="D13" s="36">
        <v>0.90712999455402299</v>
      </c>
      <c r="E13" s="36">
        <v>0.93978979951244701</v>
      </c>
      <c r="F13" s="36">
        <v>0.93205711416606396</v>
      </c>
      <c r="G13" s="36">
        <v>0.93662322338400295</v>
      </c>
      <c r="H13" s="36">
        <v>0.92990370213885798</v>
      </c>
      <c r="I13" s="36">
        <v>0.92009198843704199</v>
      </c>
      <c r="J13" s="36">
        <v>0.90123963795217399</v>
      </c>
      <c r="K13" s="2"/>
      <c r="W13" s="23"/>
      <c r="X13" s="24"/>
      <c r="Y13" s="7" t="s">
        <v>16</v>
      </c>
      <c r="Z13">
        <f t="shared" si="1"/>
        <v>0.93978979951244701</v>
      </c>
      <c r="AA13" s="20" t="s">
        <v>7</v>
      </c>
    </row>
    <row r="14" spans="1:27" ht="17.25" thickTop="1" thickBot="1" x14ac:dyDescent="0.3">
      <c r="A14" s="23"/>
      <c r="B14" s="25" t="s">
        <v>17</v>
      </c>
      <c r="C14" s="1" t="s">
        <v>14</v>
      </c>
      <c r="D14" s="36">
        <v>0.61450396615547298</v>
      </c>
      <c r="E14" s="36">
        <v>0.55787234042553102</v>
      </c>
      <c r="F14" s="36">
        <v>0.58108001265022102</v>
      </c>
      <c r="G14" s="36">
        <v>0.63109318996415698</v>
      </c>
      <c r="H14" s="36">
        <v>0.53144484553752902</v>
      </c>
      <c r="I14" s="36">
        <v>0.606708742402992</v>
      </c>
      <c r="J14" s="36">
        <v>0.52241679467485902</v>
      </c>
      <c r="K14" s="2"/>
      <c r="W14" s="23"/>
      <c r="X14" s="25" t="s">
        <v>17</v>
      </c>
      <c r="Y14" s="1" t="s">
        <v>14</v>
      </c>
      <c r="Z14">
        <f t="shared" si="1"/>
        <v>0.63109318996415698</v>
      </c>
      <c r="AA14" s="20" t="s">
        <v>7</v>
      </c>
    </row>
    <row r="15" spans="1:27" ht="17.25" thickTop="1" thickBot="1" x14ac:dyDescent="0.3">
      <c r="A15" s="23"/>
      <c r="B15" s="23"/>
      <c r="C15" s="1" t="s">
        <v>15</v>
      </c>
      <c r="D15" s="36">
        <v>0.62380952380952304</v>
      </c>
      <c r="E15" s="36">
        <v>0.621428571428571</v>
      </c>
      <c r="F15" s="36">
        <v>0.62265306122448905</v>
      </c>
      <c r="G15" s="36">
        <v>0.62397959183673402</v>
      </c>
      <c r="H15" s="36">
        <v>0.62023809523809503</v>
      </c>
      <c r="I15" s="36">
        <v>0.62755102040816302</v>
      </c>
      <c r="J15" s="36">
        <v>0.58190476190476204</v>
      </c>
      <c r="K15" s="2"/>
      <c r="W15" s="23"/>
      <c r="X15" s="23"/>
      <c r="Y15" s="1" t="s">
        <v>15</v>
      </c>
      <c r="Z15">
        <f t="shared" si="1"/>
        <v>0.62755102040816302</v>
      </c>
      <c r="AA15" s="20" t="s">
        <v>9</v>
      </c>
    </row>
    <row r="16" spans="1:27" ht="17.25" thickTop="1" thickBot="1" x14ac:dyDescent="0.3">
      <c r="A16" s="26"/>
      <c r="B16" s="26"/>
      <c r="C16" s="15" t="s">
        <v>16</v>
      </c>
      <c r="D16" s="36">
        <v>0.90191029138933099</v>
      </c>
      <c r="E16" s="36">
        <v>0.94162331003351196</v>
      </c>
      <c r="F16" s="36">
        <v>0.92568846208273403</v>
      </c>
      <c r="G16" s="36">
        <v>0.92626003729736595</v>
      </c>
      <c r="H16" s="36">
        <v>0.92319420734667501</v>
      </c>
      <c r="I16" s="36">
        <v>0.94232125562658997</v>
      </c>
      <c r="J16" s="36">
        <v>0.89758976475074304</v>
      </c>
      <c r="K16" s="2"/>
      <c r="W16" s="26"/>
      <c r="X16" s="26"/>
      <c r="Y16" s="15" t="s">
        <v>16</v>
      </c>
      <c r="Z16">
        <f t="shared" si="1"/>
        <v>0.94232125562658997</v>
      </c>
      <c r="AA16" s="20" t="s">
        <v>9</v>
      </c>
    </row>
    <row r="17" spans="1:28" ht="16.5" thickTop="1" thickBot="1" x14ac:dyDescent="0.3"/>
    <row r="18" spans="1:28" ht="16.5" thickTop="1" x14ac:dyDescent="0.25">
      <c r="A18" s="27" t="s">
        <v>0</v>
      </c>
      <c r="B18" s="27" t="s">
        <v>1</v>
      </c>
      <c r="C18" s="29" t="s">
        <v>2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s="2"/>
      <c r="M18" s="27" t="s">
        <v>0</v>
      </c>
      <c r="N18" s="27" t="s">
        <v>1</v>
      </c>
      <c r="O18" s="29" t="s">
        <v>2</v>
      </c>
      <c r="P18" s="33" t="s">
        <v>5</v>
      </c>
      <c r="Q18" s="3" t="s">
        <v>7</v>
      </c>
      <c r="R18" s="3" t="s">
        <v>8</v>
      </c>
      <c r="S18" s="3" t="s">
        <v>9</v>
      </c>
      <c r="T18" s="3" t="s">
        <v>10</v>
      </c>
      <c r="U18" s="33" t="s">
        <v>6</v>
      </c>
      <c r="V18" s="3" t="s">
        <v>3</v>
      </c>
      <c r="Y18" s="27" t="s">
        <v>0</v>
      </c>
      <c r="Z18" s="27" t="s">
        <v>1</v>
      </c>
      <c r="AA18" s="29" t="s">
        <v>2</v>
      </c>
    </row>
    <row r="19" spans="1:28" ht="16.5" thickBot="1" x14ac:dyDescent="0.3">
      <c r="A19" s="28"/>
      <c r="B19" s="28"/>
      <c r="C19" s="30"/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s="2"/>
      <c r="M19" s="28"/>
      <c r="N19" s="28"/>
      <c r="O19" s="30"/>
      <c r="P19" s="34"/>
      <c r="Q19" s="4"/>
      <c r="R19" s="4"/>
      <c r="S19" s="4"/>
      <c r="T19" s="4"/>
      <c r="U19" s="34"/>
      <c r="V19" s="4" t="s">
        <v>4</v>
      </c>
      <c r="W19" t="s">
        <v>25</v>
      </c>
      <c r="Y19" s="28"/>
      <c r="Z19" s="28"/>
      <c r="AA19" s="30"/>
      <c r="AB19" t="str">
        <f>W19</f>
        <v>T-Test</v>
      </c>
    </row>
    <row r="20" spans="1:28" ht="15.75" x14ac:dyDescent="0.25">
      <c r="A20" s="31" t="s">
        <v>11</v>
      </c>
      <c r="B20" s="31" t="s">
        <v>12</v>
      </c>
      <c r="C20" s="1" t="s">
        <v>13</v>
      </c>
      <c r="D20" s="2">
        <f t="shared" ref="D20:D33" si="4">_xlfn.RANK.AVG(D3, $D3:$J3, 0)</f>
        <v>4</v>
      </c>
      <c r="E20" s="2">
        <f t="shared" ref="E20:J33" si="5">_xlfn.RANK.AVG(E3, $D3:$J3, 0)</f>
        <v>7</v>
      </c>
      <c r="F20" s="2">
        <f t="shared" si="5"/>
        <v>2</v>
      </c>
      <c r="G20" s="2">
        <f t="shared" si="5"/>
        <v>5</v>
      </c>
      <c r="H20" s="2">
        <f t="shared" si="5"/>
        <v>1</v>
      </c>
      <c r="I20" s="2">
        <f t="shared" si="5"/>
        <v>6</v>
      </c>
      <c r="J20" s="2">
        <f t="shared" si="5"/>
        <v>3</v>
      </c>
      <c r="K20" s="2"/>
      <c r="M20" s="31" t="s">
        <v>11</v>
      </c>
      <c r="N20" s="31" t="s">
        <v>12</v>
      </c>
      <c r="O20" s="1" t="s">
        <v>13</v>
      </c>
      <c r="P20" s="2">
        <v>0.62390000000000001</v>
      </c>
      <c r="Q20" s="2">
        <v>0.76580000000000004</v>
      </c>
      <c r="R20" s="5">
        <v>0.95050000000000001</v>
      </c>
      <c r="S20" s="2">
        <v>0.70630000000000004</v>
      </c>
      <c r="T20" s="6">
        <v>0.88429999999999997</v>
      </c>
      <c r="U20" s="2">
        <v>0.86839999999999995</v>
      </c>
      <c r="V20" s="2">
        <v>0.82620000000000005</v>
      </c>
      <c r="W20">
        <f>_xlfn.T.TEST(P20:T20,U20:V20,2,3)</f>
        <v>0.37637935813561824</v>
      </c>
      <c r="Y20" s="31" t="s">
        <v>11</v>
      </c>
      <c r="Z20" s="31" t="s">
        <v>12</v>
      </c>
      <c r="AA20" s="1" t="s">
        <v>13</v>
      </c>
      <c r="AB20" s="19">
        <f t="shared" ref="AB20:AB33" si="6">W20</f>
        <v>0.37637935813561824</v>
      </c>
    </row>
    <row r="21" spans="1:28" ht="15.75" x14ac:dyDescent="0.25">
      <c r="A21" s="23"/>
      <c r="B21" s="23"/>
      <c r="C21" s="1" t="s">
        <v>14</v>
      </c>
      <c r="D21" s="2">
        <f t="shared" si="4"/>
        <v>2</v>
      </c>
      <c r="E21" s="2">
        <f t="shared" si="5"/>
        <v>1</v>
      </c>
      <c r="F21" s="2">
        <f t="shared" si="5"/>
        <v>6</v>
      </c>
      <c r="G21" s="2">
        <f t="shared" si="5"/>
        <v>4</v>
      </c>
      <c r="H21" s="2">
        <f t="shared" si="5"/>
        <v>5</v>
      </c>
      <c r="I21" s="2">
        <f t="shared" si="5"/>
        <v>3</v>
      </c>
      <c r="J21" s="2">
        <f t="shared" si="5"/>
        <v>7</v>
      </c>
      <c r="K21" s="2"/>
      <c r="M21" s="23"/>
      <c r="N21" s="23"/>
      <c r="O21" s="1" t="s">
        <v>14</v>
      </c>
      <c r="P21" s="5">
        <v>0.7994</v>
      </c>
      <c r="Q21" s="2">
        <v>0.72389999999999999</v>
      </c>
      <c r="R21" s="2">
        <v>0.76729999999999998</v>
      </c>
      <c r="S21" s="2">
        <v>0.76390000000000002</v>
      </c>
      <c r="T21" s="2">
        <v>0.63039999999999996</v>
      </c>
      <c r="U21" s="2">
        <v>0.6764</v>
      </c>
      <c r="V21" s="6">
        <v>0.78129999999999999</v>
      </c>
      <c r="W21">
        <f t="shared" ref="W21:W33" si="7">_xlfn.T.TEST(P21:T21,U21:V21,2,3)</f>
        <v>0.90674905801427308</v>
      </c>
      <c r="Y21" s="23"/>
      <c r="Z21" s="23"/>
      <c r="AA21" s="1" t="s">
        <v>14</v>
      </c>
      <c r="AB21" s="19">
        <f>W21</f>
        <v>0.90674905801427308</v>
      </c>
    </row>
    <row r="22" spans="1:28" ht="15.75" x14ac:dyDescent="0.25">
      <c r="A22" s="23"/>
      <c r="B22" s="23"/>
      <c r="C22" s="1" t="s">
        <v>15</v>
      </c>
      <c r="D22" s="2">
        <f t="shared" si="4"/>
        <v>6</v>
      </c>
      <c r="E22" s="2">
        <f t="shared" si="5"/>
        <v>3</v>
      </c>
      <c r="F22" s="2">
        <f t="shared" si="5"/>
        <v>5</v>
      </c>
      <c r="G22" s="2">
        <f t="shared" si="5"/>
        <v>4</v>
      </c>
      <c r="H22" s="2">
        <f t="shared" si="5"/>
        <v>1</v>
      </c>
      <c r="I22" s="2">
        <f t="shared" si="5"/>
        <v>2</v>
      </c>
      <c r="J22" s="2">
        <f t="shared" si="5"/>
        <v>7</v>
      </c>
      <c r="K22" s="2"/>
      <c r="M22" s="23"/>
      <c r="N22" s="23"/>
      <c r="O22" s="1" t="s">
        <v>15</v>
      </c>
      <c r="P22" s="2">
        <v>0.8841</v>
      </c>
      <c r="Q22" s="2">
        <v>0.88129999999999997</v>
      </c>
      <c r="R22" s="5">
        <v>0.89080000000000004</v>
      </c>
      <c r="S22" s="6">
        <v>0.88649999999999995</v>
      </c>
      <c r="T22" s="2">
        <v>0.87080000000000002</v>
      </c>
      <c r="U22" s="2">
        <v>0.87990000000000002</v>
      </c>
      <c r="V22" s="2">
        <v>0.87849999999999995</v>
      </c>
      <c r="W22">
        <f t="shared" si="7"/>
        <v>0.36128142129742197</v>
      </c>
      <c r="Y22" s="23"/>
      <c r="Z22" s="23"/>
      <c r="AA22" s="1" t="s">
        <v>15</v>
      </c>
      <c r="AB22" s="19">
        <f t="shared" si="6"/>
        <v>0.36128142129742197</v>
      </c>
    </row>
    <row r="23" spans="1:28" ht="16.5" thickBot="1" x14ac:dyDescent="0.3">
      <c r="A23" s="23"/>
      <c r="B23" s="24"/>
      <c r="C23" s="7" t="s">
        <v>16</v>
      </c>
      <c r="D23" s="2">
        <f t="shared" si="4"/>
        <v>1</v>
      </c>
      <c r="E23" s="2">
        <f t="shared" si="5"/>
        <v>6</v>
      </c>
      <c r="F23" s="2">
        <f t="shared" si="5"/>
        <v>5</v>
      </c>
      <c r="G23" s="2">
        <f t="shared" si="5"/>
        <v>2</v>
      </c>
      <c r="H23" s="2">
        <f t="shared" si="5"/>
        <v>7</v>
      </c>
      <c r="I23" s="2">
        <f t="shared" si="5"/>
        <v>3</v>
      </c>
      <c r="J23" s="2">
        <f t="shared" si="5"/>
        <v>4</v>
      </c>
      <c r="K23" s="2"/>
      <c r="M23" s="23"/>
      <c r="N23" s="24"/>
      <c r="O23" s="7" t="s">
        <v>16</v>
      </c>
      <c r="P23" s="9">
        <v>0.93569999999999998</v>
      </c>
      <c r="Q23" s="10">
        <v>0.96650000000000003</v>
      </c>
      <c r="R23" s="9">
        <v>0.91479999999999995</v>
      </c>
      <c r="S23" s="9">
        <v>0.94159999999999999</v>
      </c>
      <c r="T23" s="9">
        <v>0.94199999999999995</v>
      </c>
      <c r="U23" s="9">
        <v>0.93979999999999997</v>
      </c>
      <c r="V23" s="8">
        <v>0.95620000000000005</v>
      </c>
      <c r="W23">
        <f t="shared" si="7"/>
        <v>0.54363106700340769</v>
      </c>
      <c r="Y23" s="23"/>
      <c r="Z23" s="24"/>
      <c r="AA23" s="7" t="s">
        <v>16</v>
      </c>
      <c r="AB23" s="19">
        <f t="shared" si="6"/>
        <v>0.54363106700340769</v>
      </c>
    </row>
    <row r="24" spans="1:28" ht="15.75" x14ac:dyDescent="0.25">
      <c r="A24" s="23"/>
      <c r="B24" s="25" t="s">
        <v>17</v>
      </c>
      <c r="C24" s="1" t="s">
        <v>13</v>
      </c>
      <c r="D24" s="2">
        <f t="shared" si="4"/>
        <v>5</v>
      </c>
      <c r="E24" s="2">
        <f t="shared" si="5"/>
        <v>3</v>
      </c>
      <c r="F24" s="2">
        <f t="shared" si="5"/>
        <v>4</v>
      </c>
      <c r="G24" s="2">
        <f t="shared" si="5"/>
        <v>1</v>
      </c>
      <c r="H24" s="2">
        <f t="shared" si="5"/>
        <v>6</v>
      </c>
      <c r="I24" s="2">
        <f t="shared" si="5"/>
        <v>7</v>
      </c>
      <c r="J24" s="2">
        <f t="shared" si="5"/>
        <v>2</v>
      </c>
      <c r="K24" s="2"/>
      <c r="M24" s="23"/>
      <c r="N24" s="25" t="s">
        <v>17</v>
      </c>
      <c r="O24" s="1" t="s">
        <v>13</v>
      </c>
      <c r="P24" s="2">
        <v>0.75519999999999998</v>
      </c>
      <c r="Q24" s="6">
        <v>0.86209999999999998</v>
      </c>
      <c r="R24" s="2">
        <v>0.63539999999999996</v>
      </c>
      <c r="S24" s="2">
        <v>0.2</v>
      </c>
      <c r="T24" s="5">
        <v>0.86560000000000004</v>
      </c>
      <c r="U24" s="2">
        <v>0.76249999999999996</v>
      </c>
      <c r="V24" s="2">
        <v>0.75409999999999999</v>
      </c>
      <c r="W24">
        <f t="shared" si="7"/>
        <v>0.48586808144707244</v>
      </c>
      <c r="Y24" s="23"/>
      <c r="Z24" s="25" t="s">
        <v>17</v>
      </c>
      <c r="AA24" s="1" t="s">
        <v>13</v>
      </c>
      <c r="AB24" s="19">
        <f t="shared" si="6"/>
        <v>0.48586808144707244</v>
      </c>
    </row>
    <row r="25" spans="1:28" ht="15.75" x14ac:dyDescent="0.25">
      <c r="A25" s="23"/>
      <c r="B25" s="23"/>
      <c r="C25" s="1" t="s">
        <v>14</v>
      </c>
      <c r="D25" s="2">
        <f t="shared" si="4"/>
        <v>3</v>
      </c>
      <c r="E25" s="2">
        <f t="shared" si="5"/>
        <v>6</v>
      </c>
      <c r="F25" s="2">
        <f t="shared" si="5"/>
        <v>7</v>
      </c>
      <c r="G25" s="2">
        <f t="shared" si="5"/>
        <v>1</v>
      </c>
      <c r="H25" s="2">
        <f t="shared" si="5"/>
        <v>5</v>
      </c>
      <c r="I25" s="2">
        <f t="shared" si="5"/>
        <v>4</v>
      </c>
      <c r="J25" s="2">
        <f t="shared" si="5"/>
        <v>2</v>
      </c>
      <c r="K25" s="2"/>
      <c r="M25" s="23"/>
      <c r="N25" s="23"/>
      <c r="O25" s="1" t="s">
        <v>14</v>
      </c>
      <c r="P25" s="2">
        <v>0.6613</v>
      </c>
      <c r="Q25" s="5">
        <v>0.79649999999999999</v>
      </c>
      <c r="R25" s="2">
        <v>0.69189999999999996</v>
      </c>
      <c r="S25" s="2">
        <v>0.74780000000000002</v>
      </c>
      <c r="T25" s="6">
        <v>0.79620000000000002</v>
      </c>
      <c r="U25" s="2">
        <v>0.67510000000000003</v>
      </c>
      <c r="V25" s="2">
        <v>0.77480000000000004</v>
      </c>
      <c r="W25">
        <f t="shared" si="7"/>
        <v>0.83500141706692566</v>
      </c>
      <c r="Y25" s="23"/>
      <c r="Z25" s="23"/>
      <c r="AA25" s="1" t="s">
        <v>14</v>
      </c>
      <c r="AB25" s="19">
        <f t="shared" si="6"/>
        <v>0.83500141706692566</v>
      </c>
    </row>
    <row r="26" spans="1:28" ht="15.75" x14ac:dyDescent="0.25">
      <c r="A26" s="23"/>
      <c r="B26" s="23"/>
      <c r="C26" s="1" t="s">
        <v>15</v>
      </c>
      <c r="D26" s="2">
        <f t="shared" si="4"/>
        <v>4</v>
      </c>
      <c r="E26" s="2">
        <f t="shared" si="5"/>
        <v>3</v>
      </c>
      <c r="F26" s="2">
        <f t="shared" si="5"/>
        <v>7</v>
      </c>
      <c r="G26" s="2">
        <f t="shared" si="5"/>
        <v>6</v>
      </c>
      <c r="H26" s="2">
        <f t="shared" si="5"/>
        <v>1</v>
      </c>
      <c r="I26" s="2">
        <f t="shared" si="5"/>
        <v>2</v>
      </c>
      <c r="J26" s="2">
        <f t="shared" si="5"/>
        <v>5</v>
      </c>
      <c r="K26" s="2"/>
      <c r="M26" s="23"/>
      <c r="N26" s="23"/>
      <c r="O26" s="1" t="s">
        <v>15</v>
      </c>
      <c r="P26" s="2">
        <v>0.87360000000000004</v>
      </c>
      <c r="Q26" s="2">
        <v>0.85850000000000004</v>
      </c>
      <c r="R26" s="5">
        <v>0.89359999999999995</v>
      </c>
      <c r="S26" s="6">
        <v>0.88370000000000004</v>
      </c>
      <c r="T26" s="2">
        <v>0.86419999999999997</v>
      </c>
      <c r="U26" s="2">
        <v>0.85119999999999996</v>
      </c>
      <c r="V26" s="2">
        <v>0.87219999999999998</v>
      </c>
      <c r="W26">
        <f t="shared" si="7"/>
        <v>0.40994569453830498</v>
      </c>
      <c r="Y26" s="23"/>
      <c r="Z26" s="23"/>
      <c r="AA26" s="1" t="s">
        <v>15</v>
      </c>
      <c r="AB26" s="19">
        <f t="shared" si="6"/>
        <v>0.40994569453830498</v>
      </c>
    </row>
    <row r="27" spans="1:28" ht="16.5" thickBot="1" x14ac:dyDescent="0.3">
      <c r="A27" s="32"/>
      <c r="B27" s="32"/>
      <c r="C27" s="11" t="s">
        <v>16</v>
      </c>
      <c r="D27" s="2">
        <f t="shared" si="4"/>
        <v>4</v>
      </c>
      <c r="E27" s="2">
        <f t="shared" si="5"/>
        <v>2</v>
      </c>
      <c r="F27" s="2">
        <f t="shared" si="5"/>
        <v>5</v>
      </c>
      <c r="G27" s="2">
        <f t="shared" si="5"/>
        <v>3</v>
      </c>
      <c r="H27" s="2">
        <f t="shared" si="5"/>
        <v>6</v>
      </c>
      <c r="I27" s="2">
        <f t="shared" si="5"/>
        <v>1</v>
      </c>
      <c r="J27" s="2">
        <f t="shared" si="5"/>
        <v>7</v>
      </c>
      <c r="K27" s="2"/>
      <c r="M27" s="32"/>
      <c r="N27" s="32"/>
      <c r="O27" s="11" t="s">
        <v>16</v>
      </c>
      <c r="P27" s="12">
        <v>0.94499999999999995</v>
      </c>
      <c r="Q27" s="13">
        <v>0.95030000000000003</v>
      </c>
      <c r="R27" s="12">
        <v>0.89259999999999995</v>
      </c>
      <c r="S27" s="14">
        <v>0.96850000000000003</v>
      </c>
      <c r="T27" s="12">
        <v>0.85870000000000002</v>
      </c>
      <c r="U27" s="12">
        <v>0.90900000000000003</v>
      </c>
      <c r="V27" s="12">
        <v>0.93210000000000004</v>
      </c>
      <c r="W27">
        <f t="shared" si="7"/>
        <v>0.92035361571434837</v>
      </c>
      <c r="Y27" s="32"/>
      <c r="Z27" s="32"/>
      <c r="AA27" s="11" t="s">
        <v>16</v>
      </c>
      <c r="AB27" s="19">
        <f t="shared" si="6"/>
        <v>0.92035361571434837</v>
      </c>
    </row>
    <row r="28" spans="1:28" ht="15.75" x14ac:dyDescent="0.25">
      <c r="A28" s="22" t="s">
        <v>18</v>
      </c>
      <c r="B28" s="22" t="s">
        <v>12</v>
      </c>
      <c r="C28" s="1" t="s">
        <v>14</v>
      </c>
      <c r="D28" s="2">
        <f t="shared" si="4"/>
        <v>5</v>
      </c>
      <c r="E28" s="2">
        <f t="shared" si="5"/>
        <v>7</v>
      </c>
      <c r="F28" s="2">
        <f t="shared" si="5"/>
        <v>1</v>
      </c>
      <c r="G28" s="2">
        <f t="shared" si="5"/>
        <v>4</v>
      </c>
      <c r="H28" s="2">
        <f t="shared" si="5"/>
        <v>3</v>
      </c>
      <c r="I28" s="2">
        <f t="shared" si="5"/>
        <v>6</v>
      </c>
      <c r="J28" s="2">
        <f t="shared" si="5"/>
        <v>2</v>
      </c>
      <c r="K28" s="2"/>
      <c r="M28" s="22" t="s">
        <v>18</v>
      </c>
      <c r="N28" s="22" t="s">
        <v>12</v>
      </c>
      <c r="O28" s="1" t="s">
        <v>14</v>
      </c>
      <c r="P28" s="2">
        <v>0.83040000000000003</v>
      </c>
      <c r="Q28" s="2">
        <v>0.89410000000000001</v>
      </c>
      <c r="R28" s="2">
        <v>0.88949999999999996</v>
      </c>
      <c r="S28" s="2">
        <v>0.87629999999999997</v>
      </c>
      <c r="T28" s="2">
        <v>0.89070000000000005</v>
      </c>
      <c r="U28" s="2">
        <v>0.90400000000000003</v>
      </c>
      <c r="V28" s="5">
        <v>0.90549999999999997</v>
      </c>
      <c r="W28">
        <f t="shared" si="7"/>
        <v>7.3378949092937726E-2</v>
      </c>
      <c r="Y28" s="22" t="s">
        <v>18</v>
      </c>
      <c r="Z28" s="22" t="s">
        <v>12</v>
      </c>
      <c r="AA28" s="1" t="s">
        <v>14</v>
      </c>
      <c r="AB28" s="19">
        <f t="shared" si="6"/>
        <v>7.3378949092937726E-2</v>
      </c>
    </row>
    <row r="29" spans="1:28" ht="15.75" x14ac:dyDescent="0.25">
      <c r="A29" s="23"/>
      <c r="B29" s="23"/>
      <c r="C29" s="1" t="s">
        <v>15</v>
      </c>
      <c r="D29" s="2">
        <f t="shared" si="4"/>
        <v>2.5</v>
      </c>
      <c r="E29" s="2">
        <f t="shared" si="5"/>
        <v>1</v>
      </c>
      <c r="F29" s="2">
        <f t="shared" si="5"/>
        <v>2.5</v>
      </c>
      <c r="G29" s="2">
        <f t="shared" si="5"/>
        <v>5</v>
      </c>
      <c r="H29" s="2">
        <f t="shared" si="5"/>
        <v>7</v>
      </c>
      <c r="I29" s="2">
        <f t="shared" si="5"/>
        <v>4</v>
      </c>
      <c r="J29" s="2">
        <f t="shared" si="5"/>
        <v>6</v>
      </c>
      <c r="K29" s="2"/>
      <c r="M29" s="23"/>
      <c r="N29" s="23"/>
      <c r="O29" s="1" t="s">
        <v>15</v>
      </c>
      <c r="P29" s="5">
        <v>0.95740000000000003</v>
      </c>
      <c r="Q29" s="2">
        <v>0.94620000000000004</v>
      </c>
      <c r="R29" s="2">
        <v>0.8992</v>
      </c>
      <c r="S29" s="2">
        <v>0.94799999999999995</v>
      </c>
      <c r="T29" s="2">
        <v>0.92120000000000002</v>
      </c>
      <c r="U29" s="6">
        <v>0.95430000000000004</v>
      </c>
      <c r="V29" s="6">
        <v>0.95430000000000004</v>
      </c>
      <c r="W29">
        <f t="shared" si="7"/>
        <v>0.13493151129824396</v>
      </c>
      <c r="Y29" s="23"/>
      <c r="Z29" s="23"/>
      <c r="AA29" s="1" t="s">
        <v>15</v>
      </c>
      <c r="AB29" s="19">
        <f t="shared" si="6"/>
        <v>0.13493151129824396</v>
      </c>
    </row>
    <row r="30" spans="1:28" ht="16.5" thickBot="1" x14ac:dyDescent="0.3">
      <c r="A30" s="23"/>
      <c r="B30" s="24"/>
      <c r="C30" s="7" t="s">
        <v>16</v>
      </c>
      <c r="D30" s="2">
        <f t="shared" si="4"/>
        <v>6</v>
      </c>
      <c r="E30" s="2">
        <f t="shared" si="5"/>
        <v>1</v>
      </c>
      <c r="F30" s="2">
        <f t="shared" si="5"/>
        <v>3</v>
      </c>
      <c r="G30" s="2">
        <f t="shared" si="5"/>
        <v>2</v>
      </c>
      <c r="H30" s="2">
        <f t="shared" si="5"/>
        <v>4</v>
      </c>
      <c r="I30" s="2">
        <f t="shared" si="5"/>
        <v>5</v>
      </c>
      <c r="J30" s="2">
        <f t="shared" si="5"/>
        <v>7</v>
      </c>
      <c r="K30" s="2"/>
      <c r="M30" s="23"/>
      <c r="N30" s="24"/>
      <c r="O30" s="7" t="s">
        <v>16</v>
      </c>
      <c r="P30" s="9">
        <v>0.97609999999999997</v>
      </c>
      <c r="Q30" s="10">
        <v>0.98129999999999995</v>
      </c>
      <c r="R30" s="9">
        <v>0.97529999999999994</v>
      </c>
      <c r="S30" s="9">
        <v>0.96499999999999997</v>
      </c>
      <c r="T30" s="9">
        <v>0.95130000000000003</v>
      </c>
      <c r="U30" s="8">
        <v>0.97760000000000002</v>
      </c>
      <c r="V30" s="9">
        <v>0.95130000000000003</v>
      </c>
      <c r="W30">
        <f t="shared" si="7"/>
        <v>0.75694751563673712</v>
      </c>
      <c r="Y30" s="23"/>
      <c r="Z30" s="24"/>
      <c r="AA30" s="7" t="s">
        <v>16</v>
      </c>
      <c r="AB30" s="19">
        <f t="shared" si="6"/>
        <v>0.75694751563673712</v>
      </c>
    </row>
    <row r="31" spans="1:28" ht="15.75" x14ac:dyDescent="0.25">
      <c r="A31" s="23"/>
      <c r="B31" s="25" t="s">
        <v>17</v>
      </c>
      <c r="C31" s="1" t="s">
        <v>14</v>
      </c>
      <c r="D31" s="2">
        <f t="shared" si="4"/>
        <v>2</v>
      </c>
      <c r="E31" s="2">
        <f t="shared" si="5"/>
        <v>5</v>
      </c>
      <c r="F31" s="2">
        <f t="shared" si="5"/>
        <v>4</v>
      </c>
      <c r="G31" s="2">
        <f t="shared" si="5"/>
        <v>1</v>
      </c>
      <c r="H31" s="2">
        <f t="shared" si="5"/>
        <v>6</v>
      </c>
      <c r="I31" s="2">
        <f t="shared" si="5"/>
        <v>3</v>
      </c>
      <c r="J31" s="2">
        <f t="shared" si="5"/>
        <v>7</v>
      </c>
      <c r="K31" s="2"/>
      <c r="M31" s="23"/>
      <c r="N31" s="25" t="s">
        <v>17</v>
      </c>
      <c r="O31" s="1" t="s">
        <v>14</v>
      </c>
      <c r="P31" s="2">
        <v>0.74150000000000005</v>
      </c>
      <c r="Q31" s="5">
        <v>0.84719999999999995</v>
      </c>
      <c r="R31" s="2">
        <v>0.7339</v>
      </c>
      <c r="S31" s="2">
        <v>0.83160000000000001</v>
      </c>
      <c r="T31" s="2">
        <v>0.70569999999999999</v>
      </c>
      <c r="U31" s="2">
        <v>0.78469999999999995</v>
      </c>
      <c r="V31" s="6">
        <v>0.8347</v>
      </c>
      <c r="W31">
        <f t="shared" si="7"/>
        <v>0.37857042761468757</v>
      </c>
      <c r="Y31" s="23"/>
      <c r="Z31" s="25" t="s">
        <v>17</v>
      </c>
      <c r="AA31" s="1" t="s">
        <v>14</v>
      </c>
      <c r="AB31" s="19">
        <f t="shared" si="6"/>
        <v>0.37857042761468757</v>
      </c>
    </row>
    <row r="32" spans="1:28" ht="15.75" x14ac:dyDescent="0.25">
      <c r="A32" s="23"/>
      <c r="B32" s="23"/>
      <c r="C32" s="1" t="s">
        <v>15</v>
      </c>
      <c r="D32" s="2">
        <f t="shared" si="4"/>
        <v>3</v>
      </c>
      <c r="E32" s="2">
        <f t="shared" si="5"/>
        <v>5</v>
      </c>
      <c r="F32" s="2">
        <f t="shared" si="5"/>
        <v>4</v>
      </c>
      <c r="G32" s="2">
        <f t="shared" si="5"/>
        <v>2</v>
      </c>
      <c r="H32" s="2">
        <f t="shared" si="5"/>
        <v>6</v>
      </c>
      <c r="I32" s="2">
        <f t="shared" si="5"/>
        <v>1</v>
      </c>
      <c r="J32" s="2">
        <f t="shared" si="5"/>
        <v>7</v>
      </c>
      <c r="K32" s="2"/>
      <c r="M32" s="23"/>
      <c r="N32" s="23"/>
      <c r="O32" s="1" t="s">
        <v>15</v>
      </c>
      <c r="P32" s="2">
        <v>0.94650000000000001</v>
      </c>
      <c r="Q32" s="6">
        <v>0.95040000000000002</v>
      </c>
      <c r="R32" s="2">
        <v>0.94469999999999998</v>
      </c>
      <c r="S32" s="5">
        <v>0.95579999999999998</v>
      </c>
      <c r="T32" s="2">
        <v>0.88639999999999997</v>
      </c>
      <c r="U32" s="2">
        <v>0.94840000000000002</v>
      </c>
      <c r="V32" s="2">
        <v>0.95020000000000004</v>
      </c>
      <c r="W32">
        <f t="shared" si="7"/>
        <v>0.38102067341463308</v>
      </c>
      <c r="Y32" s="23"/>
      <c r="Z32" s="23"/>
      <c r="AA32" s="1" t="s">
        <v>15</v>
      </c>
      <c r="AB32" s="19">
        <f t="shared" si="6"/>
        <v>0.38102067341463308</v>
      </c>
    </row>
    <row r="33" spans="1:28" ht="16.5" thickBot="1" x14ac:dyDescent="0.3">
      <c r="A33" s="26"/>
      <c r="B33" s="26"/>
      <c r="C33" s="15" t="s">
        <v>16</v>
      </c>
      <c r="D33" s="2">
        <f t="shared" si="4"/>
        <v>6</v>
      </c>
      <c r="E33" s="2">
        <f t="shared" si="5"/>
        <v>2</v>
      </c>
      <c r="F33" s="2">
        <f t="shared" si="5"/>
        <v>4</v>
      </c>
      <c r="G33" s="2">
        <f t="shared" si="5"/>
        <v>3</v>
      </c>
      <c r="H33" s="2">
        <f t="shared" si="5"/>
        <v>5</v>
      </c>
      <c r="I33" s="2">
        <f t="shared" si="5"/>
        <v>1</v>
      </c>
      <c r="J33" s="2">
        <f t="shared" si="5"/>
        <v>7</v>
      </c>
      <c r="K33" s="2"/>
      <c r="M33" s="26"/>
      <c r="N33" s="26"/>
      <c r="O33" s="15" t="s">
        <v>16</v>
      </c>
      <c r="P33" s="17">
        <v>0.98470000000000002</v>
      </c>
      <c r="Q33" s="16">
        <v>0.97150000000000003</v>
      </c>
      <c r="R33" s="16">
        <v>0.96819999999999995</v>
      </c>
      <c r="S33" s="18">
        <v>0.98729999999999996</v>
      </c>
      <c r="T33" s="16">
        <v>0.93969999999999998</v>
      </c>
      <c r="U33" s="16">
        <v>0.96899999999999997</v>
      </c>
      <c r="V33" s="16">
        <v>0.94710000000000005</v>
      </c>
      <c r="W33">
        <f t="shared" si="7"/>
        <v>0.45821287679844458</v>
      </c>
      <c r="Y33" s="26"/>
      <c r="Z33" s="26"/>
      <c r="AA33" s="15" t="s">
        <v>16</v>
      </c>
      <c r="AB33" s="19">
        <f t="shared" si="6"/>
        <v>0.45821287679844458</v>
      </c>
    </row>
    <row r="34" spans="1:28" ht="16.5" thickTop="1" x14ac:dyDescent="0.25">
      <c r="C34" s="1" t="s">
        <v>19</v>
      </c>
      <c r="D34" s="2">
        <f>AVERAGE(D20:D33)</f>
        <v>3.8214285714285716</v>
      </c>
      <c r="E34" s="2">
        <f t="shared" ref="E34:J34" si="8">AVERAGE(E20:E33)</f>
        <v>3.7142857142857144</v>
      </c>
      <c r="F34" s="2">
        <f t="shared" si="8"/>
        <v>4.25</v>
      </c>
      <c r="G34" s="2">
        <f t="shared" si="8"/>
        <v>3.0714285714285716</v>
      </c>
      <c r="H34" s="2">
        <f t="shared" si="8"/>
        <v>4.5</v>
      </c>
      <c r="I34" s="2">
        <f t="shared" si="8"/>
        <v>3.4285714285714284</v>
      </c>
      <c r="J34" s="2">
        <f t="shared" si="8"/>
        <v>5.2142857142857144</v>
      </c>
      <c r="K34" s="2"/>
    </row>
    <row r="35" spans="1:28" ht="15.75" x14ac:dyDescent="0.25">
      <c r="C35" s="1" t="s">
        <v>20</v>
      </c>
      <c r="D35" s="2">
        <f>_xlfn.RANK.AVG(D34, $D34:$J34, 1)</f>
        <v>4</v>
      </c>
      <c r="E35" s="2">
        <f t="shared" ref="E35:J35" si="9">_xlfn.RANK.AVG(E34, $D34:$J34, 1)</f>
        <v>3</v>
      </c>
      <c r="F35" s="2">
        <f t="shared" si="9"/>
        <v>5</v>
      </c>
      <c r="G35" s="2">
        <f t="shared" si="9"/>
        <v>1</v>
      </c>
      <c r="H35" s="2">
        <f t="shared" si="9"/>
        <v>6</v>
      </c>
      <c r="I35" s="2">
        <f t="shared" si="9"/>
        <v>2</v>
      </c>
      <c r="J35" s="2">
        <f t="shared" si="9"/>
        <v>7</v>
      </c>
      <c r="K35" s="2"/>
    </row>
  </sheetData>
  <mergeCells count="52">
    <mergeCell ref="A3:A10"/>
    <mergeCell ref="B3:B6"/>
    <mergeCell ref="B7:B10"/>
    <mergeCell ref="A1:A2"/>
    <mergeCell ref="B1:B2"/>
    <mergeCell ref="A11:A16"/>
    <mergeCell ref="B11:B13"/>
    <mergeCell ref="B14:B16"/>
    <mergeCell ref="A18:A19"/>
    <mergeCell ref="B18:B19"/>
    <mergeCell ref="C18:C19"/>
    <mergeCell ref="A20:A27"/>
    <mergeCell ref="B20:B23"/>
    <mergeCell ref="B24:B27"/>
    <mergeCell ref="A28:A33"/>
    <mergeCell ref="B28:B30"/>
    <mergeCell ref="B31:B33"/>
    <mergeCell ref="M3:M6"/>
    <mergeCell ref="M7:M9"/>
    <mergeCell ref="Q3:Q5"/>
    <mergeCell ref="Q6:Q8"/>
    <mergeCell ref="V3:V4"/>
    <mergeCell ref="V5:V6"/>
    <mergeCell ref="M28:M33"/>
    <mergeCell ref="N28:N30"/>
    <mergeCell ref="N31:N33"/>
    <mergeCell ref="Y18:Y19"/>
    <mergeCell ref="Z18:Z19"/>
    <mergeCell ref="M18:M19"/>
    <mergeCell ref="N18:N19"/>
    <mergeCell ref="M20:M27"/>
    <mergeCell ref="N20:N23"/>
    <mergeCell ref="N24:N27"/>
    <mergeCell ref="O18:O19"/>
    <mergeCell ref="P18:P19"/>
    <mergeCell ref="U18:U19"/>
    <mergeCell ref="AA18:AA19"/>
    <mergeCell ref="Y20:Y27"/>
    <mergeCell ref="Z20:Z23"/>
    <mergeCell ref="Z24:Z27"/>
    <mergeCell ref="Y28:Y33"/>
    <mergeCell ref="Z28:Z30"/>
    <mergeCell ref="Z31:Z33"/>
    <mergeCell ref="X11:X13"/>
    <mergeCell ref="X14:X16"/>
    <mergeCell ref="W1:W2"/>
    <mergeCell ref="X1:X2"/>
    <mergeCell ref="Y1:Y2"/>
    <mergeCell ref="W3:W10"/>
    <mergeCell ref="X3:X6"/>
    <mergeCell ref="X7:X10"/>
    <mergeCell ref="W11:W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2026-03-31T13:50:19Z</dcterms:created>
  <dcterms:modified xsi:type="dcterms:W3CDTF">2026-05-22T13:41:26Z</dcterms:modified>
</cp:coreProperties>
</file>