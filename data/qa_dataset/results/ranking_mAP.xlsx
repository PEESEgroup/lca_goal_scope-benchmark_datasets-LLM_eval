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llm-goal-scope\data\qa_dataset\results\"/>
    </mc:Choice>
  </mc:AlternateContent>
  <xr:revisionPtr revIDLastSave="0" documentId="13_ncr:1_{FF61DD43-227F-4A6D-8D65-DE553E6C0AC1}" xr6:coauthVersionLast="47" xr6:coauthVersionMax="47" xr10:uidLastSave="{00000000-0000-0000-0000-000000000000}"/>
  <bookViews>
    <workbookView xWindow="-120" yWindow="-120" windowWidth="29040" windowHeight="17520" xr2:uid="{D25027FC-FC27-47EF-8BDA-CB9196E400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F35" i="1"/>
  <c r="G35" i="1"/>
  <c r="H35" i="1"/>
  <c r="I35" i="1"/>
  <c r="J35" i="1"/>
  <c r="D35" i="1"/>
  <c r="E34" i="1"/>
  <c r="F34" i="1"/>
  <c r="G34" i="1"/>
  <c r="H34" i="1"/>
  <c r="I34" i="1"/>
  <c r="J34" i="1"/>
  <c r="D34" i="1"/>
  <c r="D33" i="1"/>
  <c r="E33" i="1"/>
  <c r="F33" i="1"/>
  <c r="G33" i="1"/>
  <c r="H33" i="1"/>
  <c r="I33" i="1"/>
  <c r="J33" i="1"/>
  <c r="D32" i="1"/>
  <c r="E32" i="1"/>
  <c r="F32" i="1"/>
  <c r="G32" i="1"/>
  <c r="H32" i="1"/>
  <c r="I32" i="1"/>
  <c r="J32" i="1"/>
  <c r="D31" i="1"/>
  <c r="E31" i="1"/>
  <c r="F31" i="1"/>
  <c r="G31" i="1"/>
  <c r="H31" i="1"/>
  <c r="I31" i="1"/>
  <c r="J31" i="1"/>
  <c r="D30" i="1"/>
  <c r="E30" i="1"/>
  <c r="F30" i="1"/>
  <c r="G30" i="1"/>
  <c r="H30" i="1"/>
  <c r="I30" i="1"/>
  <c r="J30" i="1"/>
  <c r="D29" i="1"/>
  <c r="E29" i="1"/>
  <c r="F29" i="1"/>
  <c r="G29" i="1"/>
  <c r="H29" i="1"/>
  <c r="I29" i="1"/>
  <c r="J29" i="1"/>
  <c r="D28" i="1"/>
  <c r="E28" i="1"/>
  <c r="F28" i="1"/>
  <c r="G28" i="1"/>
  <c r="H28" i="1"/>
  <c r="I28" i="1"/>
  <c r="J28" i="1"/>
  <c r="D27" i="1"/>
  <c r="E27" i="1"/>
  <c r="F27" i="1"/>
  <c r="G27" i="1"/>
  <c r="H27" i="1"/>
  <c r="I27" i="1"/>
  <c r="J27" i="1"/>
  <c r="D26" i="1"/>
  <c r="E26" i="1"/>
  <c r="F26" i="1"/>
  <c r="G26" i="1"/>
  <c r="H26" i="1"/>
  <c r="I26" i="1"/>
  <c r="J26" i="1"/>
  <c r="D25" i="1"/>
  <c r="E25" i="1"/>
  <c r="F25" i="1"/>
  <c r="G25" i="1"/>
  <c r="H25" i="1"/>
  <c r="I25" i="1"/>
  <c r="J25" i="1"/>
  <c r="D24" i="1"/>
  <c r="E24" i="1"/>
  <c r="F24" i="1"/>
  <c r="G24" i="1"/>
  <c r="H24" i="1"/>
  <c r="I24" i="1"/>
  <c r="J24" i="1"/>
  <c r="D23" i="1"/>
  <c r="E23" i="1"/>
  <c r="F23" i="1"/>
  <c r="G23" i="1"/>
  <c r="H23" i="1"/>
  <c r="I23" i="1"/>
  <c r="J23" i="1"/>
  <c r="D22" i="1"/>
  <c r="E22" i="1"/>
  <c r="F22" i="1"/>
  <c r="G22" i="1"/>
  <c r="H22" i="1"/>
  <c r="I22" i="1"/>
  <c r="J22" i="1"/>
  <c r="D21" i="1"/>
  <c r="E21" i="1"/>
  <c r="F21" i="1"/>
  <c r="G21" i="1"/>
  <c r="H21" i="1"/>
  <c r="I21" i="1"/>
  <c r="J21" i="1"/>
  <c r="E20" i="1"/>
  <c r="F20" i="1"/>
  <c r="G20" i="1"/>
  <c r="H20" i="1"/>
  <c r="I20" i="1"/>
  <c r="J20" i="1"/>
  <c r="D20" i="1"/>
</calcChain>
</file>

<file path=xl/sharedStrings.xml><?xml version="1.0" encoding="utf-8"?>
<sst xmlns="http://schemas.openxmlformats.org/spreadsheetml/2006/main" count="64" uniqueCount="21">
  <si>
    <t>Dataset</t>
  </si>
  <si>
    <t>RAG</t>
  </si>
  <si>
    <t>Task</t>
  </si>
  <si>
    <t>Environmental</t>
  </si>
  <si>
    <t>BERT-base</t>
  </si>
  <si>
    <t>roberta-large</t>
  </si>
  <si>
    <t>distilroberta-base-climate-f</t>
  </si>
  <si>
    <t>bert-base-uncased</t>
  </si>
  <si>
    <t>deberta-v3-base</t>
  </si>
  <si>
    <t>deberta-v3-large</t>
  </si>
  <si>
    <t>deberta-v3-small</t>
  </si>
  <si>
    <t>Original</t>
  </si>
  <si>
    <t>No</t>
  </si>
  <si>
    <t>Allocation</t>
  </si>
  <si>
    <t>Functional Unit</t>
  </si>
  <si>
    <t>Product of Interest</t>
  </si>
  <si>
    <t>System Boundary</t>
  </si>
  <si>
    <t>Yes</t>
  </si>
  <si>
    <t>Standardized</t>
  </si>
  <si>
    <t>Average Ranking</t>
  </si>
  <si>
    <t>Rank of Average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</si>
</sst>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u/>
      <sz val="12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BFBFBF"/>
      </bottom>
      <diagonal/>
    </border>
    <border>
      <left/>
      <right/>
      <top/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BFBFBF"/>
      </top>
      <bottom/>
      <diagonal/>
    </border>
    <border>
      <left/>
      <right/>
      <top style="medium">
        <color rgb="FF808080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5D3B7-B81B-47D0-9AD4-22DBA1CA522C}">
  <dimension ref="A1:J35"/>
  <sheetViews>
    <sheetView tabSelected="1" workbookViewId="0">
      <selection activeCell="C36" sqref="C36"/>
    </sheetView>
  </sheetViews>
  <sheetFormatPr defaultRowHeight="15" x14ac:dyDescent="0.25"/>
  <cols>
    <col min="4" max="4" width="10.140625" bestFit="1" customWidth="1"/>
  </cols>
  <sheetData>
    <row r="1" spans="1:10" ht="16.5" thickTop="1" x14ac:dyDescent="0.25">
      <c r="A1" s="19" t="s">
        <v>0</v>
      </c>
      <c r="B1" s="19" t="s">
        <v>1</v>
      </c>
      <c r="C1" s="21" t="s">
        <v>2</v>
      </c>
      <c r="D1" s="3" t="s">
        <v>3</v>
      </c>
      <c r="E1" s="23" t="s">
        <v>5</v>
      </c>
      <c r="F1" s="23" t="s">
        <v>6</v>
      </c>
      <c r="G1" s="23" t="s">
        <v>7</v>
      </c>
      <c r="H1" s="23" t="s">
        <v>8</v>
      </c>
      <c r="I1" s="23" t="s">
        <v>9</v>
      </c>
      <c r="J1" s="23" t="s">
        <v>10</v>
      </c>
    </row>
    <row r="2" spans="1:10" ht="16.5" thickBot="1" x14ac:dyDescent="0.3">
      <c r="A2" s="20"/>
      <c r="B2" s="20"/>
      <c r="C2" s="22"/>
      <c r="D2" s="4" t="s">
        <v>4</v>
      </c>
      <c r="E2" s="24"/>
      <c r="F2" s="24"/>
      <c r="G2" s="24"/>
      <c r="H2" s="24"/>
      <c r="I2" s="24"/>
      <c r="J2" s="24"/>
    </row>
    <row r="3" spans="1:10" ht="15.75" x14ac:dyDescent="0.25">
      <c r="A3" s="26" t="s">
        <v>11</v>
      </c>
      <c r="B3" s="26" t="s">
        <v>12</v>
      </c>
      <c r="C3" s="1" t="s">
        <v>13</v>
      </c>
      <c r="D3" s="2">
        <v>0.82620000000000005</v>
      </c>
      <c r="E3" s="2">
        <v>0.62390000000000001</v>
      </c>
      <c r="F3" s="2">
        <v>0.86839999999999995</v>
      </c>
      <c r="G3" s="2">
        <v>0.76580000000000004</v>
      </c>
      <c r="H3" s="5">
        <v>0.95050000000000001</v>
      </c>
      <c r="I3" s="2">
        <v>0.70630000000000004</v>
      </c>
      <c r="J3" s="6">
        <v>0.88429999999999997</v>
      </c>
    </row>
    <row r="4" spans="1:10" ht="15.75" x14ac:dyDescent="0.25">
      <c r="A4" s="25"/>
      <c r="B4" s="25"/>
      <c r="C4" s="1" t="s">
        <v>14</v>
      </c>
      <c r="D4" s="6">
        <v>0.78129999999999999</v>
      </c>
      <c r="E4" s="5">
        <v>0.7994</v>
      </c>
      <c r="F4" s="2">
        <v>0.6764</v>
      </c>
      <c r="G4" s="2">
        <v>0.72389999999999999</v>
      </c>
      <c r="H4" s="2">
        <v>0.76729999999999998</v>
      </c>
      <c r="I4" s="2">
        <v>0.76390000000000002</v>
      </c>
      <c r="J4" s="2">
        <v>0.63039999999999996</v>
      </c>
    </row>
    <row r="5" spans="1:10" ht="15.75" x14ac:dyDescent="0.25">
      <c r="A5" s="25"/>
      <c r="B5" s="25"/>
      <c r="C5" s="1" t="s">
        <v>15</v>
      </c>
      <c r="D5" s="2">
        <v>0.87849999999999995</v>
      </c>
      <c r="E5" s="2">
        <v>0.8841</v>
      </c>
      <c r="F5" s="2">
        <v>0.87990000000000002</v>
      </c>
      <c r="G5" s="2">
        <v>0.88129999999999997</v>
      </c>
      <c r="H5" s="5">
        <v>0.89080000000000004</v>
      </c>
      <c r="I5" s="6">
        <v>0.88649999999999995</v>
      </c>
      <c r="J5" s="2">
        <v>0.87080000000000002</v>
      </c>
    </row>
    <row r="6" spans="1:10" ht="16.5" thickBot="1" x14ac:dyDescent="0.3">
      <c r="A6" s="25"/>
      <c r="B6" s="28"/>
      <c r="C6" s="7" t="s">
        <v>16</v>
      </c>
      <c r="D6" s="8">
        <v>0.95620000000000005</v>
      </c>
      <c r="E6" s="9">
        <v>0.93569999999999998</v>
      </c>
      <c r="F6" s="9">
        <v>0.93979999999999997</v>
      </c>
      <c r="G6" s="10">
        <v>0.96650000000000003</v>
      </c>
      <c r="H6" s="9">
        <v>0.91479999999999995</v>
      </c>
      <c r="I6" s="9">
        <v>0.94159999999999999</v>
      </c>
      <c r="J6" s="9">
        <v>0.94199999999999995</v>
      </c>
    </row>
    <row r="7" spans="1:10" ht="15.75" x14ac:dyDescent="0.25">
      <c r="A7" s="25"/>
      <c r="B7" s="29" t="s">
        <v>17</v>
      </c>
      <c r="C7" s="1" t="s">
        <v>13</v>
      </c>
      <c r="D7" s="2">
        <v>0.75409999999999999</v>
      </c>
      <c r="E7" s="2">
        <v>0.75519999999999998</v>
      </c>
      <c r="F7" s="2">
        <v>0.76249999999999996</v>
      </c>
      <c r="G7" s="6">
        <v>0.86209999999999998</v>
      </c>
      <c r="H7" s="2">
        <v>0.63539999999999996</v>
      </c>
      <c r="I7" s="2">
        <v>0.2</v>
      </c>
      <c r="J7" s="5">
        <v>0.86560000000000004</v>
      </c>
    </row>
    <row r="8" spans="1:10" ht="15.75" x14ac:dyDescent="0.25">
      <c r="A8" s="25"/>
      <c r="B8" s="25"/>
      <c r="C8" s="1" t="s">
        <v>14</v>
      </c>
      <c r="D8" s="2">
        <v>0.77480000000000004</v>
      </c>
      <c r="E8" s="2">
        <v>0.6613</v>
      </c>
      <c r="F8" s="2">
        <v>0.67510000000000003</v>
      </c>
      <c r="G8" s="5">
        <v>0.79649999999999999</v>
      </c>
      <c r="H8" s="2">
        <v>0.69189999999999996</v>
      </c>
      <c r="I8" s="2">
        <v>0.74780000000000002</v>
      </c>
      <c r="J8" s="6">
        <v>0.79620000000000002</v>
      </c>
    </row>
    <row r="9" spans="1:10" ht="15.75" x14ac:dyDescent="0.25">
      <c r="A9" s="25"/>
      <c r="B9" s="25"/>
      <c r="C9" s="1" t="s">
        <v>15</v>
      </c>
      <c r="D9" s="2">
        <v>0.87219999999999998</v>
      </c>
      <c r="E9" s="2">
        <v>0.87360000000000004</v>
      </c>
      <c r="F9" s="2">
        <v>0.85119999999999996</v>
      </c>
      <c r="G9" s="2">
        <v>0.85850000000000004</v>
      </c>
      <c r="H9" s="5">
        <v>0.89359999999999995</v>
      </c>
      <c r="I9" s="6">
        <v>0.88370000000000004</v>
      </c>
      <c r="J9" s="2">
        <v>0.86419999999999997</v>
      </c>
    </row>
    <row r="10" spans="1:10" ht="16.5" thickBot="1" x14ac:dyDescent="0.3">
      <c r="A10" s="27"/>
      <c r="B10" s="27"/>
      <c r="C10" s="11" t="s">
        <v>16</v>
      </c>
      <c r="D10" s="12">
        <v>0.93210000000000004</v>
      </c>
      <c r="E10" s="12">
        <v>0.94499999999999995</v>
      </c>
      <c r="F10" s="12">
        <v>0.90900000000000003</v>
      </c>
      <c r="G10" s="13">
        <v>0.95030000000000003</v>
      </c>
      <c r="H10" s="12">
        <v>0.89259999999999995</v>
      </c>
      <c r="I10" s="14">
        <v>0.96850000000000003</v>
      </c>
      <c r="J10" s="12">
        <v>0.85870000000000002</v>
      </c>
    </row>
    <row r="11" spans="1:10" ht="15.75" x14ac:dyDescent="0.25">
      <c r="A11" s="30" t="s">
        <v>18</v>
      </c>
      <c r="B11" s="30" t="s">
        <v>12</v>
      </c>
      <c r="C11" s="1" t="s">
        <v>14</v>
      </c>
      <c r="D11" s="5">
        <v>0.90549999999999997</v>
      </c>
      <c r="E11" s="2">
        <v>0.83040000000000003</v>
      </c>
      <c r="F11" s="2">
        <v>0.90400000000000003</v>
      </c>
      <c r="G11" s="2">
        <v>0.89410000000000001</v>
      </c>
      <c r="H11" s="2">
        <v>0.88949999999999996</v>
      </c>
      <c r="I11" s="2">
        <v>0.87629999999999997</v>
      </c>
      <c r="J11" s="2">
        <v>0.89070000000000005</v>
      </c>
    </row>
    <row r="12" spans="1:10" ht="15.75" x14ac:dyDescent="0.25">
      <c r="A12" s="25"/>
      <c r="B12" s="25"/>
      <c r="C12" s="1" t="s">
        <v>15</v>
      </c>
      <c r="D12" s="6">
        <v>0.95430000000000004</v>
      </c>
      <c r="E12" s="5">
        <v>0.95740000000000003</v>
      </c>
      <c r="F12" s="6">
        <v>0.95430000000000004</v>
      </c>
      <c r="G12" s="2">
        <v>0.94620000000000004</v>
      </c>
      <c r="H12" s="2">
        <v>0.8992</v>
      </c>
      <c r="I12" s="2">
        <v>0.94799999999999995</v>
      </c>
      <c r="J12" s="2">
        <v>0.92120000000000002</v>
      </c>
    </row>
    <row r="13" spans="1:10" ht="16.5" thickBot="1" x14ac:dyDescent="0.3">
      <c r="A13" s="25"/>
      <c r="B13" s="28"/>
      <c r="C13" s="7" t="s">
        <v>16</v>
      </c>
      <c r="D13" s="9">
        <v>0.95130000000000003</v>
      </c>
      <c r="E13" s="9">
        <v>0.97609999999999997</v>
      </c>
      <c r="F13" s="8">
        <v>0.97760000000000002</v>
      </c>
      <c r="G13" s="10">
        <v>0.98129999999999995</v>
      </c>
      <c r="H13" s="9">
        <v>0.97529999999999994</v>
      </c>
      <c r="I13" s="9">
        <v>0.96499999999999997</v>
      </c>
      <c r="J13" s="9">
        <v>0.95130000000000003</v>
      </c>
    </row>
    <row r="14" spans="1:10" ht="15.75" x14ac:dyDescent="0.25">
      <c r="A14" s="25"/>
      <c r="B14" s="29" t="s">
        <v>17</v>
      </c>
      <c r="C14" s="1" t="s">
        <v>14</v>
      </c>
      <c r="D14" s="6">
        <v>0.8347</v>
      </c>
      <c r="E14" s="2">
        <v>0.74150000000000005</v>
      </c>
      <c r="F14" s="2">
        <v>0.78469999999999995</v>
      </c>
      <c r="G14" s="5">
        <v>0.84719999999999995</v>
      </c>
      <c r="H14" s="2">
        <v>0.7339</v>
      </c>
      <c r="I14" s="2">
        <v>0.83160000000000001</v>
      </c>
      <c r="J14" s="2">
        <v>0.70569999999999999</v>
      </c>
    </row>
    <row r="15" spans="1:10" ht="15.75" x14ac:dyDescent="0.25">
      <c r="A15" s="25"/>
      <c r="B15" s="25"/>
      <c r="C15" s="1" t="s">
        <v>15</v>
      </c>
      <c r="D15" s="2">
        <v>0.95020000000000004</v>
      </c>
      <c r="E15" s="2">
        <v>0.94650000000000001</v>
      </c>
      <c r="F15" s="2">
        <v>0.94840000000000002</v>
      </c>
      <c r="G15" s="6">
        <v>0.95040000000000002</v>
      </c>
      <c r="H15" s="2">
        <v>0.94469999999999998</v>
      </c>
      <c r="I15" s="5">
        <v>0.95579999999999998</v>
      </c>
      <c r="J15" s="2">
        <v>0.88639999999999997</v>
      </c>
    </row>
    <row r="16" spans="1:10" ht="16.5" thickBot="1" x14ac:dyDescent="0.3">
      <c r="A16" s="31"/>
      <c r="B16" s="31"/>
      <c r="C16" s="15" t="s">
        <v>16</v>
      </c>
      <c r="D16" s="16">
        <v>0.94710000000000005</v>
      </c>
      <c r="E16" s="17">
        <v>0.98470000000000002</v>
      </c>
      <c r="F16" s="16">
        <v>0.96899999999999997</v>
      </c>
      <c r="G16" s="16">
        <v>0.97150000000000003</v>
      </c>
      <c r="H16" s="16">
        <v>0.96819999999999995</v>
      </c>
      <c r="I16" s="18">
        <v>0.98729999999999996</v>
      </c>
      <c r="J16" s="16">
        <v>0.93969999999999998</v>
      </c>
    </row>
    <row r="17" spans="1:10" ht="16.5" thickTop="1" thickBot="1" x14ac:dyDescent="0.3"/>
    <row r="18" spans="1:10" ht="16.5" thickTop="1" x14ac:dyDescent="0.25">
      <c r="A18" s="19" t="s">
        <v>0</v>
      </c>
      <c r="B18" s="19" t="s">
        <v>1</v>
      </c>
      <c r="C18" s="21" t="s">
        <v>2</v>
      </c>
      <c r="D18" s="3" t="s">
        <v>3</v>
      </c>
      <c r="E18" s="23" t="s">
        <v>5</v>
      </c>
      <c r="F18" s="23" t="s">
        <v>6</v>
      </c>
      <c r="G18" s="23" t="s">
        <v>7</v>
      </c>
      <c r="H18" s="23" t="s">
        <v>8</v>
      </c>
      <c r="I18" s="23" t="s">
        <v>9</v>
      </c>
      <c r="J18" s="23" t="s">
        <v>10</v>
      </c>
    </row>
    <row r="19" spans="1:10" ht="16.5" thickBot="1" x14ac:dyDescent="0.3">
      <c r="A19" s="20"/>
      <c r="B19" s="20"/>
      <c r="C19" s="22"/>
      <c r="D19" s="4" t="s">
        <v>4</v>
      </c>
      <c r="E19" s="24"/>
      <c r="F19" s="24"/>
      <c r="G19" s="24"/>
      <c r="H19" s="24"/>
      <c r="I19" s="24"/>
      <c r="J19" s="24"/>
    </row>
    <row r="20" spans="1:10" ht="15.75" x14ac:dyDescent="0.25">
      <c r="A20" s="26" t="s">
        <v>11</v>
      </c>
      <c r="B20" s="26" t="s">
        <v>12</v>
      </c>
      <c r="C20" s="1" t="s">
        <v>13</v>
      </c>
      <c r="D20" s="2">
        <f>_xlfn.RANK.AVG(D3, $D3:$J3, 0)</f>
        <v>4</v>
      </c>
      <c r="E20" s="2">
        <f t="shared" ref="E20:J35" si="0">_xlfn.RANK.AVG(E3, $D3:$J3, 0)</f>
        <v>7</v>
      </c>
      <c r="F20" s="2">
        <f t="shared" si="0"/>
        <v>3</v>
      </c>
      <c r="G20" s="2">
        <f t="shared" si="0"/>
        <v>5</v>
      </c>
      <c r="H20" s="2">
        <f t="shared" si="0"/>
        <v>1</v>
      </c>
      <c r="I20" s="2">
        <f t="shared" si="0"/>
        <v>6</v>
      </c>
      <c r="J20" s="2">
        <f t="shared" si="0"/>
        <v>2</v>
      </c>
    </row>
    <row r="21" spans="1:10" ht="15.75" x14ac:dyDescent="0.25">
      <c r="A21" s="25"/>
      <c r="B21" s="25"/>
      <c r="C21" s="1" t="s">
        <v>14</v>
      </c>
      <c r="D21" s="2">
        <f>_xlfn.RANK.AVG(D4, $D4:$J4, 0)</f>
        <v>2</v>
      </c>
      <c r="E21" s="2">
        <f t="shared" si="0"/>
        <v>1</v>
      </c>
      <c r="F21" s="2">
        <f t="shared" si="0"/>
        <v>6</v>
      </c>
      <c r="G21" s="2">
        <f t="shared" si="0"/>
        <v>5</v>
      </c>
      <c r="H21" s="2">
        <f t="shared" si="0"/>
        <v>3</v>
      </c>
      <c r="I21" s="2">
        <f t="shared" si="0"/>
        <v>4</v>
      </c>
      <c r="J21" s="2">
        <f t="shared" si="0"/>
        <v>7</v>
      </c>
    </row>
    <row r="22" spans="1:10" ht="15.75" x14ac:dyDescent="0.25">
      <c r="A22" s="25"/>
      <c r="B22" s="25"/>
      <c r="C22" s="1" t="s">
        <v>15</v>
      </c>
      <c r="D22" s="2">
        <f>_xlfn.RANK.AVG(D5, $D5:$J5, 0)</f>
        <v>6</v>
      </c>
      <c r="E22" s="2">
        <f t="shared" si="0"/>
        <v>3</v>
      </c>
      <c r="F22" s="2">
        <f t="shared" si="0"/>
        <v>5</v>
      </c>
      <c r="G22" s="2">
        <f t="shared" si="0"/>
        <v>4</v>
      </c>
      <c r="H22" s="2">
        <f t="shared" si="0"/>
        <v>1</v>
      </c>
      <c r="I22" s="2">
        <f t="shared" si="0"/>
        <v>2</v>
      </c>
      <c r="J22" s="2">
        <f t="shared" si="0"/>
        <v>7</v>
      </c>
    </row>
    <row r="23" spans="1:10" ht="16.5" thickBot="1" x14ac:dyDescent="0.3">
      <c r="A23" s="25"/>
      <c r="B23" s="28"/>
      <c r="C23" s="7" t="s">
        <v>16</v>
      </c>
      <c r="D23" s="2">
        <f>_xlfn.RANK.AVG(D6, $D6:$J6, 0)</f>
        <v>2</v>
      </c>
      <c r="E23" s="2">
        <f t="shared" si="0"/>
        <v>6</v>
      </c>
      <c r="F23" s="2">
        <f t="shared" si="0"/>
        <v>5</v>
      </c>
      <c r="G23" s="2">
        <f t="shared" si="0"/>
        <v>1</v>
      </c>
      <c r="H23" s="2">
        <f t="shared" si="0"/>
        <v>7</v>
      </c>
      <c r="I23" s="2">
        <f t="shared" si="0"/>
        <v>4</v>
      </c>
      <c r="J23" s="2">
        <f t="shared" si="0"/>
        <v>3</v>
      </c>
    </row>
    <row r="24" spans="1:10" ht="15.75" x14ac:dyDescent="0.25">
      <c r="A24" s="25"/>
      <c r="B24" s="29" t="s">
        <v>17</v>
      </c>
      <c r="C24" s="1" t="s">
        <v>13</v>
      </c>
      <c r="D24" s="2">
        <f>_xlfn.RANK.AVG(D7, $D7:$J7, 0)</f>
        <v>5</v>
      </c>
      <c r="E24" s="2">
        <f t="shared" si="0"/>
        <v>4</v>
      </c>
      <c r="F24" s="2">
        <f t="shared" si="0"/>
        <v>3</v>
      </c>
      <c r="G24" s="2">
        <f t="shared" si="0"/>
        <v>2</v>
      </c>
      <c r="H24" s="2">
        <f t="shared" si="0"/>
        <v>6</v>
      </c>
      <c r="I24" s="2">
        <f t="shared" si="0"/>
        <v>7</v>
      </c>
      <c r="J24" s="2">
        <f t="shared" si="0"/>
        <v>1</v>
      </c>
    </row>
    <row r="25" spans="1:10" ht="15.75" x14ac:dyDescent="0.25">
      <c r="A25" s="25"/>
      <c r="B25" s="25"/>
      <c r="C25" s="1" t="s">
        <v>14</v>
      </c>
      <c r="D25" s="2">
        <f>_xlfn.RANK.AVG(D8, $D8:$J8, 0)</f>
        <v>3</v>
      </c>
      <c r="E25" s="2">
        <f t="shared" si="0"/>
        <v>7</v>
      </c>
      <c r="F25" s="2">
        <f t="shared" si="0"/>
        <v>6</v>
      </c>
      <c r="G25" s="2">
        <f t="shared" si="0"/>
        <v>1</v>
      </c>
      <c r="H25" s="2">
        <f t="shared" si="0"/>
        <v>5</v>
      </c>
      <c r="I25" s="2">
        <f t="shared" si="0"/>
        <v>4</v>
      </c>
      <c r="J25" s="2">
        <f t="shared" si="0"/>
        <v>2</v>
      </c>
    </row>
    <row r="26" spans="1:10" ht="15.75" x14ac:dyDescent="0.25">
      <c r="A26" s="25"/>
      <c r="B26" s="25"/>
      <c r="C26" s="1" t="s">
        <v>15</v>
      </c>
      <c r="D26" s="2">
        <f>_xlfn.RANK.AVG(D9, $D9:$J9, 0)</f>
        <v>4</v>
      </c>
      <c r="E26" s="2">
        <f t="shared" si="0"/>
        <v>3</v>
      </c>
      <c r="F26" s="2">
        <f t="shared" si="0"/>
        <v>7</v>
      </c>
      <c r="G26" s="2">
        <f t="shared" si="0"/>
        <v>6</v>
      </c>
      <c r="H26" s="2">
        <f t="shared" si="0"/>
        <v>1</v>
      </c>
      <c r="I26" s="2">
        <f t="shared" si="0"/>
        <v>2</v>
      </c>
      <c r="J26" s="2">
        <f t="shared" si="0"/>
        <v>5</v>
      </c>
    </row>
    <row r="27" spans="1:10" ht="16.5" thickBot="1" x14ac:dyDescent="0.3">
      <c r="A27" s="27"/>
      <c r="B27" s="27"/>
      <c r="C27" s="11" t="s">
        <v>16</v>
      </c>
      <c r="D27" s="2">
        <f>_xlfn.RANK.AVG(D10, $D10:$J10, 0)</f>
        <v>4</v>
      </c>
      <c r="E27" s="2">
        <f t="shared" si="0"/>
        <v>3</v>
      </c>
      <c r="F27" s="2">
        <f t="shared" si="0"/>
        <v>5</v>
      </c>
      <c r="G27" s="2">
        <f t="shared" si="0"/>
        <v>2</v>
      </c>
      <c r="H27" s="2">
        <f t="shared" si="0"/>
        <v>6</v>
      </c>
      <c r="I27" s="2">
        <f t="shared" si="0"/>
        <v>1</v>
      </c>
      <c r="J27" s="2">
        <f t="shared" si="0"/>
        <v>7</v>
      </c>
    </row>
    <row r="28" spans="1:10" ht="15.75" x14ac:dyDescent="0.25">
      <c r="A28" s="30" t="s">
        <v>18</v>
      </c>
      <c r="B28" s="30" t="s">
        <v>12</v>
      </c>
      <c r="C28" s="1" t="s">
        <v>14</v>
      </c>
      <c r="D28" s="2">
        <f>_xlfn.RANK.AVG(D11, $D11:$J11, 0)</f>
        <v>1</v>
      </c>
      <c r="E28" s="2">
        <f t="shared" si="0"/>
        <v>7</v>
      </c>
      <c r="F28" s="2">
        <f t="shared" si="0"/>
        <v>2</v>
      </c>
      <c r="G28" s="2">
        <f t="shared" si="0"/>
        <v>3</v>
      </c>
      <c r="H28" s="2">
        <f t="shared" si="0"/>
        <v>5</v>
      </c>
      <c r="I28" s="2">
        <f t="shared" si="0"/>
        <v>6</v>
      </c>
      <c r="J28" s="2">
        <f t="shared" si="0"/>
        <v>4</v>
      </c>
    </row>
    <row r="29" spans="1:10" ht="15.75" x14ac:dyDescent="0.25">
      <c r="A29" s="25"/>
      <c r="B29" s="25"/>
      <c r="C29" s="1" t="s">
        <v>15</v>
      </c>
      <c r="D29" s="2">
        <f>_xlfn.RANK.AVG(D12, $D12:$J12, 0)</f>
        <v>2.5</v>
      </c>
      <c r="E29" s="2">
        <f t="shared" si="0"/>
        <v>1</v>
      </c>
      <c r="F29" s="2">
        <f t="shared" si="0"/>
        <v>2.5</v>
      </c>
      <c r="G29" s="2">
        <f t="shared" si="0"/>
        <v>5</v>
      </c>
      <c r="H29" s="2">
        <f t="shared" si="0"/>
        <v>7</v>
      </c>
      <c r="I29" s="2">
        <f t="shared" si="0"/>
        <v>4</v>
      </c>
      <c r="J29" s="2">
        <f t="shared" si="0"/>
        <v>6</v>
      </c>
    </row>
    <row r="30" spans="1:10" ht="16.5" thickBot="1" x14ac:dyDescent="0.3">
      <c r="A30" s="25"/>
      <c r="B30" s="28"/>
      <c r="C30" s="7" t="s">
        <v>16</v>
      </c>
      <c r="D30" s="2">
        <f>_xlfn.RANK.AVG(D13, $D13:$J13, 0)</f>
        <v>6.5</v>
      </c>
      <c r="E30" s="2">
        <f t="shared" si="0"/>
        <v>3</v>
      </c>
      <c r="F30" s="2">
        <f t="shared" si="0"/>
        <v>2</v>
      </c>
      <c r="G30" s="2">
        <f t="shared" si="0"/>
        <v>1</v>
      </c>
      <c r="H30" s="2">
        <f t="shared" si="0"/>
        <v>4</v>
      </c>
      <c r="I30" s="2">
        <f t="shared" si="0"/>
        <v>5</v>
      </c>
      <c r="J30" s="2">
        <f t="shared" si="0"/>
        <v>6.5</v>
      </c>
    </row>
    <row r="31" spans="1:10" ht="15.75" x14ac:dyDescent="0.25">
      <c r="A31" s="25"/>
      <c r="B31" s="29" t="s">
        <v>17</v>
      </c>
      <c r="C31" s="1" t="s">
        <v>14</v>
      </c>
      <c r="D31" s="2">
        <f>_xlfn.RANK.AVG(D14, $D14:$J14, 0)</f>
        <v>2</v>
      </c>
      <c r="E31" s="2">
        <f t="shared" si="0"/>
        <v>5</v>
      </c>
      <c r="F31" s="2">
        <f t="shared" si="0"/>
        <v>4</v>
      </c>
      <c r="G31" s="2">
        <f t="shared" si="0"/>
        <v>1</v>
      </c>
      <c r="H31" s="2">
        <f t="shared" si="0"/>
        <v>6</v>
      </c>
      <c r="I31" s="2">
        <f t="shared" si="0"/>
        <v>3</v>
      </c>
      <c r="J31" s="2">
        <f t="shared" si="0"/>
        <v>7</v>
      </c>
    </row>
    <row r="32" spans="1:10" ht="15.75" x14ac:dyDescent="0.25">
      <c r="A32" s="25"/>
      <c r="B32" s="25"/>
      <c r="C32" s="1" t="s">
        <v>15</v>
      </c>
      <c r="D32" s="2">
        <f>_xlfn.RANK.AVG(D15, $D15:$J15, 0)</f>
        <v>3</v>
      </c>
      <c r="E32" s="2">
        <f t="shared" si="0"/>
        <v>5</v>
      </c>
      <c r="F32" s="2">
        <f t="shared" si="0"/>
        <v>4</v>
      </c>
      <c r="G32" s="2">
        <f t="shared" si="0"/>
        <v>2</v>
      </c>
      <c r="H32" s="2">
        <f t="shared" si="0"/>
        <v>6</v>
      </c>
      <c r="I32" s="2">
        <f t="shared" si="0"/>
        <v>1</v>
      </c>
      <c r="J32" s="2">
        <f t="shared" si="0"/>
        <v>7</v>
      </c>
    </row>
    <row r="33" spans="1:10" ht="16.5" thickBot="1" x14ac:dyDescent="0.3">
      <c r="A33" s="31"/>
      <c r="B33" s="31"/>
      <c r="C33" s="15" t="s">
        <v>16</v>
      </c>
      <c r="D33" s="2">
        <f>_xlfn.RANK.AVG(D16, $D16:$J16, 0)</f>
        <v>6</v>
      </c>
      <c r="E33" s="2">
        <f t="shared" si="0"/>
        <v>2</v>
      </c>
      <c r="F33" s="2">
        <f t="shared" si="0"/>
        <v>4</v>
      </c>
      <c r="G33" s="2">
        <f t="shared" si="0"/>
        <v>3</v>
      </c>
      <c r="H33" s="2">
        <f t="shared" si="0"/>
        <v>5</v>
      </c>
      <c r="I33" s="2">
        <f t="shared" si="0"/>
        <v>1</v>
      </c>
      <c r="J33" s="2">
        <f t="shared" si="0"/>
        <v>7</v>
      </c>
    </row>
    <row r="34" spans="1:10" ht="16.5" thickTop="1" x14ac:dyDescent="0.25">
      <c r="C34" s="32" t="s">
        <v>19</v>
      </c>
      <c r="D34" s="2">
        <f>AVERAGE(D20:D33)</f>
        <v>3.6428571428571428</v>
      </c>
      <c r="E34" s="2">
        <f t="shared" ref="E34:J34" si="1">AVERAGE(E20:E33)</f>
        <v>4.0714285714285712</v>
      </c>
      <c r="F34" s="2">
        <f t="shared" si="1"/>
        <v>4.1785714285714288</v>
      </c>
      <c r="G34" s="2">
        <f t="shared" si="1"/>
        <v>2.9285714285714284</v>
      </c>
      <c r="H34" s="2">
        <f t="shared" si="1"/>
        <v>4.5</v>
      </c>
      <c r="I34" s="2">
        <f t="shared" si="1"/>
        <v>3.5714285714285716</v>
      </c>
      <c r="J34" s="2">
        <f t="shared" si="1"/>
        <v>5.1071428571428568</v>
      </c>
    </row>
    <row r="35" spans="1:10" ht="15.75" x14ac:dyDescent="0.25">
      <c r="C35" s="32" t="s">
        <v>20</v>
      </c>
      <c r="D35" s="2">
        <f>_xlfn.RANK.AVG(D34, $D34:$J34, 1)</f>
        <v>3</v>
      </c>
      <c r="E35" s="2">
        <f t="shared" ref="E35:J35" si="2">_xlfn.RANK.AVG(E34, $D34:$J34, 1)</f>
        <v>4</v>
      </c>
      <c r="F35" s="2">
        <f t="shared" si="2"/>
        <v>5</v>
      </c>
      <c r="G35" s="2">
        <f t="shared" si="2"/>
        <v>1</v>
      </c>
      <c r="H35" s="2">
        <f t="shared" si="2"/>
        <v>6</v>
      </c>
      <c r="I35" s="2">
        <f t="shared" si="2"/>
        <v>2</v>
      </c>
      <c r="J35" s="2">
        <f t="shared" si="2"/>
        <v>7</v>
      </c>
    </row>
  </sheetData>
  <mergeCells count="30">
    <mergeCell ref="A20:A27"/>
    <mergeCell ref="B20:B23"/>
    <mergeCell ref="B24:B27"/>
    <mergeCell ref="A28:A33"/>
    <mergeCell ref="B28:B30"/>
    <mergeCell ref="B31:B33"/>
    <mergeCell ref="E18:E19"/>
    <mergeCell ref="F18:F19"/>
    <mergeCell ref="G18:G19"/>
    <mergeCell ref="H18:H19"/>
    <mergeCell ref="I18:I19"/>
    <mergeCell ref="J18:J19"/>
    <mergeCell ref="A11:A16"/>
    <mergeCell ref="B11:B13"/>
    <mergeCell ref="B14:B16"/>
    <mergeCell ref="A18:A19"/>
    <mergeCell ref="B18:B19"/>
    <mergeCell ref="C18:C19"/>
    <mergeCell ref="H1:H2"/>
    <mergeCell ref="I1:I2"/>
    <mergeCell ref="J1:J2"/>
    <mergeCell ref="A3:A10"/>
    <mergeCell ref="B3:B6"/>
    <mergeCell ref="B7:B10"/>
    <mergeCell ref="A1:A2"/>
    <mergeCell ref="B1:B2"/>
    <mergeCell ref="C1:C2"/>
    <mergeCell ref="E1:E2"/>
    <mergeCell ref="F1:F2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2026-03-31T13:50:19Z</dcterms:created>
  <dcterms:modified xsi:type="dcterms:W3CDTF">2026-03-31T13:56:47Z</dcterms:modified>
</cp:coreProperties>
</file>