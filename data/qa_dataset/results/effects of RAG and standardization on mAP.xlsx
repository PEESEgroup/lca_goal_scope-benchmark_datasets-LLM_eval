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PycharmProjects\llm-goal-scope\data\qa_dataset\results\"/>
    </mc:Choice>
  </mc:AlternateContent>
  <xr:revisionPtr revIDLastSave="0" documentId="8_{D9AB8C7E-71B4-4DB0-95A7-4C04C6F22C1E}" xr6:coauthVersionLast="47" xr6:coauthVersionMax="47" xr10:uidLastSave="{00000000-0000-0000-0000-000000000000}"/>
  <bookViews>
    <workbookView xWindow="-120" yWindow="-120" windowWidth="29040" windowHeight="17520" xr2:uid="{E10D2827-4153-479C-B8AC-CCF3900CB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3" i="1"/>
  <c r="N10" i="1"/>
  <c r="N11" i="1"/>
  <c r="O11" i="1"/>
  <c r="P11" i="1"/>
  <c r="Q11" i="1"/>
  <c r="R11" i="1"/>
  <c r="S11" i="1"/>
  <c r="T11" i="1"/>
  <c r="N12" i="1"/>
  <c r="O12" i="1"/>
  <c r="P12" i="1"/>
  <c r="Q12" i="1"/>
  <c r="R12" i="1"/>
  <c r="S12" i="1"/>
  <c r="T12" i="1"/>
  <c r="O10" i="1"/>
  <c r="P10" i="1"/>
  <c r="Q10" i="1"/>
  <c r="R10" i="1"/>
  <c r="S10" i="1"/>
  <c r="T10" i="1"/>
  <c r="U10" i="1"/>
  <c r="Q13" i="1"/>
  <c r="P13" i="1"/>
  <c r="O13" i="1"/>
  <c r="T13" i="1"/>
  <c r="S13" i="1"/>
  <c r="O7" i="1"/>
  <c r="P7" i="1"/>
  <c r="Q7" i="1"/>
  <c r="R7" i="1"/>
  <c r="S7" i="1"/>
  <c r="T7" i="1"/>
  <c r="U7" i="1"/>
  <c r="N7" i="1"/>
  <c r="U5" i="1"/>
  <c r="U6" i="1"/>
  <c r="U4" i="1"/>
  <c r="O4" i="1"/>
  <c r="P4" i="1"/>
  <c r="Q4" i="1"/>
  <c r="R4" i="1"/>
  <c r="S4" i="1"/>
  <c r="T4" i="1"/>
  <c r="O5" i="1"/>
  <c r="P5" i="1"/>
  <c r="Q5" i="1"/>
  <c r="R5" i="1"/>
  <c r="S5" i="1"/>
  <c r="T5" i="1"/>
  <c r="O6" i="1"/>
  <c r="P6" i="1"/>
  <c r="Q6" i="1"/>
  <c r="R6" i="1"/>
  <c r="S6" i="1"/>
  <c r="T6" i="1"/>
  <c r="N5" i="1"/>
  <c r="N6" i="1"/>
  <c r="N4" i="1"/>
  <c r="K27" i="1"/>
  <c r="E27" i="1"/>
  <c r="F27" i="1"/>
  <c r="G27" i="1"/>
  <c r="H27" i="1"/>
  <c r="I27" i="1"/>
  <c r="J27" i="1"/>
  <c r="D27" i="1"/>
  <c r="K24" i="1"/>
  <c r="K26" i="1"/>
  <c r="K25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E24" i="1"/>
  <c r="F24" i="1"/>
  <c r="G24" i="1"/>
  <c r="H24" i="1"/>
  <c r="I24" i="1"/>
  <c r="J24" i="1"/>
  <c r="D24" i="1"/>
  <c r="K22" i="1"/>
  <c r="E22" i="1"/>
  <c r="F22" i="1"/>
  <c r="G22" i="1"/>
  <c r="H22" i="1"/>
  <c r="I22" i="1"/>
  <c r="J22" i="1"/>
  <c r="D22" i="1"/>
  <c r="K19" i="1"/>
  <c r="K20" i="1"/>
  <c r="K21" i="1"/>
  <c r="K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E18" i="1"/>
  <c r="F18" i="1"/>
  <c r="G18" i="1"/>
  <c r="H18" i="1"/>
  <c r="I18" i="1"/>
  <c r="J18" i="1"/>
  <c r="D18" i="1"/>
  <c r="N13" i="1" l="1"/>
  <c r="U12" i="1"/>
  <c r="R13" i="1"/>
  <c r="U11" i="1"/>
  <c r="U13" i="1" s="1"/>
</calcChain>
</file>

<file path=xl/sharedStrings.xml><?xml version="1.0" encoding="utf-8"?>
<sst xmlns="http://schemas.openxmlformats.org/spreadsheetml/2006/main" count="43" uniqueCount="21">
  <si>
    <t>Dataset</t>
  </si>
  <si>
    <t>RAG</t>
  </si>
  <si>
    <t>Task</t>
  </si>
  <si>
    <t>Environmental</t>
  </si>
  <si>
    <t>BERT-base</t>
  </si>
  <si>
    <t>roberta-large</t>
  </si>
  <si>
    <t>distilroberta-base-climate-f</t>
  </si>
  <si>
    <t>bert-base-uncased</t>
  </si>
  <si>
    <t>deberta-v3-base</t>
  </si>
  <si>
    <t>deberta-v3-large</t>
  </si>
  <si>
    <t>deberta-v3-small</t>
  </si>
  <si>
    <t>Original</t>
  </si>
  <si>
    <t>No</t>
  </si>
  <si>
    <t>Allocation</t>
  </si>
  <si>
    <t>Functional Unit</t>
  </si>
  <si>
    <t>Product of Interest</t>
  </si>
  <si>
    <t>System Boundary</t>
  </si>
  <si>
    <t>Yes</t>
  </si>
  <si>
    <t>Standardized</t>
  </si>
  <si>
    <t>Average</t>
  </si>
  <si>
    <t>Standardization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</si>
</sst>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u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BFBFBF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BFBFBF"/>
      </top>
      <bottom/>
      <diagonal/>
    </border>
    <border>
      <left/>
      <right/>
      <top style="medium">
        <color rgb="FF80808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EFDB-2516-4B4E-9EBD-0400B41A8BF1}">
  <dimension ref="A1:U27"/>
  <sheetViews>
    <sheetView tabSelected="1" workbookViewId="0">
      <selection activeCell="O17" sqref="O17"/>
    </sheetView>
  </sheetViews>
  <sheetFormatPr defaultRowHeight="15" x14ac:dyDescent="0.25"/>
  <sheetData>
    <row r="1" spans="1:21" ht="16.5" thickTop="1" x14ac:dyDescent="0.25">
      <c r="A1" s="19" t="s">
        <v>0</v>
      </c>
      <c r="B1" s="19" t="s">
        <v>1</v>
      </c>
      <c r="C1" s="21" t="s">
        <v>2</v>
      </c>
      <c r="D1" s="3" t="s">
        <v>3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3" t="s">
        <v>10</v>
      </c>
    </row>
    <row r="2" spans="1:21" ht="16.5" thickBot="1" x14ac:dyDescent="0.3">
      <c r="A2" s="20"/>
      <c r="B2" s="20"/>
      <c r="C2" s="22"/>
      <c r="D2" s="4" t="s">
        <v>4</v>
      </c>
      <c r="E2" s="24"/>
      <c r="F2" s="24"/>
      <c r="G2" s="24"/>
      <c r="H2" s="24"/>
      <c r="I2" s="24"/>
      <c r="J2" s="24"/>
      <c r="K2" t="s">
        <v>19</v>
      </c>
    </row>
    <row r="3" spans="1:21" ht="15.75" x14ac:dyDescent="0.25">
      <c r="A3" s="26" t="s">
        <v>11</v>
      </c>
      <c r="B3" s="26" t="s">
        <v>12</v>
      </c>
      <c r="C3" s="1" t="s">
        <v>13</v>
      </c>
      <c r="D3" s="2">
        <v>0.82620000000000005</v>
      </c>
      <c r="E3" s="2">
        <v>0.62390000000000001</v>
      </c>
      <c r="F3" s="2">
        <v>0.86839999999999995</v>
      </c>
      <c r="G3" s="2">
        <v>0.76580000000000004</v>
      </c>
      <c r="H3" s="5">
        <v>0.95050000000000001</v>
      </c>
      <c r="I3" s="2">
        <v>0.70630000000000004</v>
      </c>
      <c r="J3" s="6">
        <v>0.88429999999999997</v>
      </c>
      <c r="K3">
        <f>AVERAGE(D3:J3)</f>
        <v>0.80362857142857125</v>
      </c>
      <c r="M3" t="s">
        <v>20</v>
      </c>
      <c r="U3" t="s">
        <v>19</v>
      </c>
    </row>
    <row r="4" spans="1:21" ht="15.75" x14ac:dyDescent="0.25">
      <c r="A4" s="25"/>
      <c r="B4" s="25"/>
      <c r="C4" s="1" t="s">
        <v>14</v>
      </c>
      <c r="D4" s="6">
        <v>0.78129999999999999</v>
      </c>
      <c r="E4" s="5">
        <v>0.7994</v>
      </c>
      <c r="F4" s="2">
        <v>0.6764</v>
      </c>
      <c r="G4" s="2">
        <v>0.72389999999999999</v>
      </c>
      <c r="H4" s="2">
        <v>0.76729999999999998</v>
      </c>
      <c r="I4" s="2">
        <v>0.76390000000000002</v>
      </c>
      <c r="J4" s="2">
        <v>0.63039999999999996</v>
      </c>
      <c r="K4">
        <f t="shared" ref="K4:K16" si="0">AVERAGE(D4:J4)</f>
        <v>0.73465714285714279</v>
      </c>
      <c r="N4">
        <f>D4-D11</f>
        <v>-0.12419999999999998</v>
      </c>
      <c r="O4">
        <f t="shared" ref="O4:U6" si="1">E4-E11</f>
        <v>-3.1000000000000028E-2</v>
      </c>
      <c r="P4">
        <f t="shared" si="1"/>
        <v>-0.22760000000000002</v>
      </c>
      <c r="Q4">
        <f t="shared" si="1"/>
        <v>-0.17020000000000002</v>
      </c>
      <c r="R4">
        <f t="shared" si="1"/>
        <v>-0.12219999999999998</v>
      </c>
      <c r="S4">
        <f t="shared" si="1"/>
        <v>-0.11239999999999994</v>
      </c>
      <c r="T4">
        <f t="shared" si="1"/>
        <v>-0.26030000000000009</v>
      </c>
      <c r="U4">
        <f>AVERAGE(N4:T4)</f>
        <v>-0.1497</v>
      </c>
    </row>
    <row r="5" spans="1:21" ht="15.75" x14ac:dyDescent="0.25">
      <c r="A5" s="25"/>
      <c r="B5" s="25"/>
      <c r="C5" s="1" t="s">
        <v>15</v>
      </c>
      <c r="D5" s="2">
        <v>0.87849999999999995</v>
      </c>
      <c r="E5" s="2">
        <v>0.8841</v>
      </c>
      <c r="F5" s="2">
        <v>0.87990000000000002</v>
      </c>
      <c r="G5" s="2">
        <v>0.88129999999999997</v>
      </c>
      <c r="H5" s="5">
        <v>0.89080000000000004</v>
      </c>
      <c r="I5" s="6">
        <v>0.88649999999999995</v>
      </c>
      <c r="J5" s="2">
        <v>0.87080000000000002</v>
      </c>
      <c r="K5">
        <f t="shared" si="0"/>
        <v>0.88170000000000004</v>
      </c>
      <c r="N5">
        <f t="shared" ref="N5:N6" si="2">D5-D12</f>
        <v>-7.580000000000009E-2</v>
      </c>
      <c r="O5">
        <f t="shared" si="1"/>
        <v>-7.3300000000000032E-2</v>
      </c>
      <c r="P5">
        <f t="shared" si="1"/>
        <v>-7.4400000000000022E-2</v>
      </c>
      <c r="Q5">
        <f t="shared" si="1"/>
        <v>-6.4900000000000069E-2</v>
      </c>
      <c r="R5">
        <f t="shared" si="1"/>
        <v>-8.3999999999999631E-3</v>
      </c>
      <c r="S5">
        <f t="shared" si="1"/>
        <v>-6.1499999999999999E-2</v>
      </c>
      <c r="T5">
        <f t="shared" si="1"/>
        <v>-5.04E-2</v>
      </c>
      <c r="U5">
        <f t="shared" ref="U5:U6" si="3">AVERAGE(N5:T5)</f>
        <v>-5.8385714285714312E-2</v>
      </c>
    </row>
    <row r="6" spans="1:21" ht="16.5" thickBot="1" x14ac:dyDescent="0.3">
      <c r="A6" s="25"/>
      <c r="B6" s="28"/>
      <c r="C6" s="7" t="s">
        <v>16</v>
      </c>
      <c r="D6" s="8">
        <v>0.95620000000000005</v>
      </c>
      <c r="E6" s="9">
        <v>0.93569999999999998</v>
      </c>
      <c r="F6" s="9">
        <v>0.93979999999999997</v>
      </c>
      <c r="G6" s="10">
        <v>0.96650000000000003</v>
      </c>
      <c r="H6" s="9">
        <v>0.91479999999999995</v>
      </c>
      <c r="I6" s="9">
        <v>0.94159999999999999</v>
      </c>
      <c r="J6" s="9">
        <v>0.94199999999999995</v>
      </c>
      <c r="K6">
        <f t="shared" si="0"/>
        <v>0.94237142857142864</v>
      </c>
      <c r="N6">
        <f t="shared" si="2"/>
        <v>4.9000000000000155E-3</v>
      </c>
      <c r="O6">
        <f t="shared" si="1"/>
        <v>-4.0399999999999991E-2</v>
      </c>
      <c r="P6">
        <f t="shared" si="1"/>
        <v>-3.7800000000000056E-2</v>
      </c>
      <c r="Q6">
        <f t="shared" si="1"/>
        <v>-1.4799999999999924E-2</v>
      </c>
      <c r="R6">
        <f t="shared" si="1"/>
        <v>-6.0499999999999998E-2</v>
      </c>
      <c r="S6">
        <f t="shared" si="1"/>
        <v>-2.3399999999999976E-2</v>
      </c>
      <c r="T6">
        <f t="shared" si="1"/>
        <v>-9.300000000000086E-3</v>
      </c>
      <c r="U6">
        <f t="shared" si="3"/>
        <v>-2.5900000000000003E-2</v>
      </c>
    </row>
    <row r="7" spans="1:21" ht="15.75" x14ac:dyDescent="0.25">
      <c r="A7" s="25"/>
      <c r="B7" s="29" t="s">
        <v>17</v>
      </c>
      <c r="C7" s="1" t="s">
        <v>13</v>
      </c>
      <c r="D7" s="2">
        <v>0.75409999999999999</v>
      </c>
      <c r="E7" s="2">
        <v>0.75519999999999998</v>
      </c>
      <c r="F7" s="2">
        <v>0.76249999999999996</v>
      </c>
      <c r="G7" s="6">
        <v>0.86209999999999998</v>
      </c>
      <c r="H7" s="2">
        <v>0.63539999999999996</v>
      </c>
      <c r="I7" s="2">
        <v>0.2</v>
      </c>
      <c r="J7" s="5">
        <v>0.86560000000000004</v>
      </c>
      <c r="K7">
        <f t="shared" si="0"/>
        <v>0.69069999999999987</v>
      </c>
      <c r="M7" t="s">
        <v>19</v>
      </c>
      <c r="N7">
        <f>AVERAGE(N4:N6)</f>
        <v>-6.5033333333333346E-2</v>
      </c>
      <c r="O7">
        <f t="shared" ref="O7:U7" si="4">AVERAGE(O4:O6)</f>
        <v>-4.823333333333335E-2</v>
      </c>
      <c r="P7">
        <f t="shared" si="4"/>
        <v>-0.1132666666666667</v>
      </c>
      <c r="Q7">
        <f t="shared" si="4"/>
        <v>-8.3299999999999999E-2</v>
      </c>
      <c r="R7">
        <f t="shared" si="4"/>
        <v>-6.3699999999999979E-2</v>
      </c>
      <c r="S7">
        <f t="shared" si="4"/>
        <v>-6.576666666666664E-2</v>
      </c>
      <c r="T7">
        <f t="shared" si="4"/>
        <v>-0.10666666666666673</v>
      </c>
      <c r="U7">
        <f t="shared" si="4"/>
        <v>-7.7995238095238104E-2</v>
      </c>
    </row>
    <row r="8" spans="1:21" ht="15.75" x14ac:dyDescent="0.25">
      <c r="A8" s="25"/>
      <c r="B8" s="25"/>
      <c r="C8" s="1" t="s">
        <v>14</v>
      </c>
      <c r="D8" s="2">
        <v>0.77480000000000004</v>
      </c>
      <c r="E8" s="2">
        <v>0.6613</v>
      </c>
      <c r="F8" s="2">
        <v>0.67510000000000003</v>
      </c>
      <c r="G8" s="5">
        <v>0.79649999999999999</v>
      </c>
      <c r="H8" s="2">
        <v>0.69189999999999996</v>
      </c>
      <c r="I8" s="2">
        <v>0.74780000000000002</v>
      </c>
      <c r="J8" s="6">
        <v>0.79620000000000002</v>
      </c>
      <c r="K8">
        <f t="shared" si="0"/>
        <v>0.73480000000000001</v>
      </c>
    </row>
    <row r="9" spans="1:21" ht="15.75" x14ac:dyDescent="0.25">
      <c r="A9" s="25"/>
      <c r="B9" s="25"/>
      <c r="C9" s="1" t="s">
        <v>15</v>
      </c>
      <c r="D9" s="2">
        <v>0.87219999999999998</v>
      </c>
      <c r="E9" s="2">
        <v>0.87360000000000004</v>
      </c>
      <c r="F9" s="2">
        <v>0.85119999999999996</v>
      </c>
      <c r="G9" s="2">
        <v>0.85850000000000004</v>
      </c>
      <c r="H9" s="5">
        <v>0.89359999999999995</v>
      </c>
      <c r="I9" s="6">
        <v>0.88370000000000004</v>
      </c>
      <c r="J9" s="2">
        <v>0.86419999999999997</v>
      </c>
      <c r="K9">
        <f t="shared" si="0"/>
        <v>0.87100000000000011</v>
      </c>
      <c r="M9" t="s">
        <v>20</v>
      </c>
      <c r="U9" t="s">
        <v>19</v>
      </c>
    </row>
    <row r="10" spans="1:21" ht="16.5" thickBot="1" x14ac:dyDescent="0.3">
      <c r="A10" s="27"/>
      <c r="B10" s="27"/>
      <c r="C10" s="11" t="s">
        <v>16</v>
      </c>
      <c r="D10" s="12">
        <v>0.93210000000000004</v>
      </c>
      <c r="E10" s="12">
        <v>0.94499999999999995</v>
      </c>
      <c r="F10" s="12">
        <v>0.90900000000000003</v>
      </c>
      <c r="G10" s="13">
        <v>0.95030000000000003</v>
      </c>
      <c r="H10" s="12">
        <v>0.89259999999999995</v>
      </c>
      <c r="I10" s="14">
        <v>0.96850000000000003</v>
      </c>
      <c r="J10" s="12">
        <v>0.85870000000000002</v>
      </c>
      <c r="K10">
        <f t="shared" si="0"/>
        <v>0.92231428571428575</v>
      </c>
      <c r="N10">
        <f>D8-D14</f>
        <v>-5.9899999999999953E-2</v>
      </c>
      <c r="O10">
        <f t="shared" ref="O10:T10" si="5">E8-E14</f>
        <v>-8.0200000000000049E-2</v>
      </c>
      <c r="P10">
        <f t="shared" si="5"/>
        <v>-0.10959999999999992</v>
      </c>
      <c r="Q10">
        <f t="shared" si="5"/>
        <v>-5.0699999999999967E-2</v>
      </c>
      <c r="R10">
        <f t="shared" si="5"/>
        <v>-4.2000000000000037E-2</v>
      </c>
      <c r="S10">
        <f t="shared" si="5"/>
        <v>-8.3799999999999986E-2</v>
      </c>
      <c r="T10">
        <f t="shared" si="5"/>
        <v>9.0500000000000025E-2</v>
      </c>
      <c r="U10">
        <f>AVERAGE(N10:T10)</f>
        <v>-4.7957142857142844E-2</v>
      </c>
    </row>
    <row r="11" spans="1:21" ht="15.75" x14ac:dyDescent="0.25">
      <c r="A11" s="30" t="s">
        <v>18</v>
      </c>
      <c r="B11" s="30" t="s">
        <v>12</v>
      </c>
      <c r="C11" s="1" t="s">
        <v>14</v>
      </c>
      <c r="D11" s="5">
        <v>0.90549999999999997</v>
      </c>
      <c r="E11" s="2">
        <v>0.83040000000000003</v>
      </c>
      <c r="F11" s="6">
        <v>0.90400000000000003</v>
      </c>
      <c r="G11" s="2">
        <v>0.89410000000000001</v>
      </c>
      <c r="H11" s="2">
        <v>0.88949999999999996</v>
      </c>
      <c r="I11" s="2">
        <v>0.87629999999999997</v>
      </c>
      <c r="J11" s="2">
        <v>0.89070000000000005</v>
      </c>
      <c r="K11">
        <f t="shared" si="0"/>
        <v>0.88435714285714273</v>
      </c>
      <c r="N11">
        <f t="shared" ref="N11:N12" si="6">D9-D15</f>
        <v>-7.8000000000000069E-2</v>
      </c>
      <c r="O11">
        <f t="shared" ref="O11:O12" si="7">E9-E15</f>
        <v>-7.2899999999999965E-2</v>
      </c>
      <c r="P11">
        <f t="shared" ref="P11:P12" si="8">F9-F15</f>
        <v>-9.7200000000000064E-2</v>
      </c>
      <c r="Q11">
        <f t="shared" ref="Q11:Q12" si="9">G9-G15</f>
        <v>-9.1899999999999982E-2</v>
      </c>
      <c r="R11">
        <f t="shared" ref="R11:R12" si="10">H9-H15</f>
        <v>-5.1100000000000034E-2</v>
      </c>
      <c r="S11">
        <f t="shared" ref="S11:S12" si="11">I9-I15</f>
        <v>-7.2099999999999942E-2</v>
      </c>
      <c r="T11">
        <f t="shared" ref="T11:T12" si="12">J9-J15</f>
        <v>-2.2199999999999998E-2</v>
      </c>
      <c r="U11">
        <f t="shared" ref="U11:U12" si="13">AVERAGE(N11:T11)</f>
        <v>-6.9342857142857151E-2</v>
      </c>
    </row>
    <row r="12" spans="1:21" ht="15.75" x14ac:dyDescent="0.25">
      <c r="A12" s="25"/>
      <c r="B12" s="25"/>
      <c r="C12" s="1" t="s">
        <v>15</v>
      </c>
      <c r="D12" s="6">
        <v>0.95430000000000004</v>
      </c>
      <c r="E12" s="5">
        <v>0.95740000000000003</v>
      </c>
      <c r="F12" s="6">
        <v>0.95430000000000004</v>
      </c>
      <c r="G12" s="2">
        <v>0.94620000000000004</v>
      </c>
      <c r="H12" s="2">
        <v>0.8992</v>
      </c>
      <c r="I12" s="2">
        <v>0.94799999999999995</v>
      </c>
      <c r="J12" s="2">
        <v>0.92120000000000002</v>
      </c>
      <c r="K12">
        <f t="shared" si="0"/>
        <v>0.94008571428571419</v>
      </c>
      <c r="N12">
        <f t="shared" si="6"/>
        <v>-1.5000000000000013E-2</v>
      </c>
      <c r="O12">
        <f t="shared" si="7"/>
        <v>-3.9700000000000069E-2</v>
      </c>
      <c r="P12">
        <f t="shared" si="8"/>
        <v>-5.9999999999999942E-2</v>
      </c>
      <c r="Q12">
        <f t="shared" si="9"/>
        <v>-2.1199999999999997E-2</v>
      </c>
      <c r="R12">
        <f t="shared" si="10"/>
        <v>-7.5600000000000001E-2</v>
      </c>
      <c r="S12">
        <f t="shared" si="11"/>
        <v>-1.8799999999999928E-2</v>
      </c>
      <c r="T12">
        <f t="shared" si="12"/>
        <v>-8.0999999999999961E-2</v>
      </c>
      <c r="U12">
        <f t="shared" si="13"/>
        <v>-4.4471428571428558E-2</v>
      </c>
    </row>
    <row r="13" spans="1:21" ht="16.5" thickBot="1" x14ac:dyDescent="0.3">
      <c r="A13" s="25"/>
      <c r="B13" s="28"/>
      <c r="C13" s="7" t="s">
        <v>16</v>
      </c>
      <c r="D13" s="9">
        <v>0.95130000000000003</v>
      </c>
      <c r="E13" s="9">
        <v>0.97609999999999997</v>
      </c>
      <c r="F13" s="8">
        <v>0.97760000000000002</v>
      </c>
      <c r="G13" s="10">
        <v>0.98129999999999995</v>
      </c>
      <c r="H13" s="9">
        <v>0.97529999999999994</v>
      </c>
      <c r="I13" s="9">
        <v>0.96499999999999997</v>
      </c>
      <c r="J13" s="9">
        <v>0.95130000000000003</v>
      </c>
      <c r="K13">
        <f t="shared" si="0"/>
        <v>0.96827142857142856</v>
      </c>
      <c r="M13" t="s">
        <v>19</v>
      </c>
      <c r="N13">
        <f>AVERAGE(N10:N12)</f>
        <v>-5.0966666666666681E-2</v>
      </c>
      <c r="O13">
        <f t="shared" ref="O13" si="14">AVERAGE(O10:O12)</f>
        <v>-6.4266666666666694E-2</v>
      </c>
      <c r="P13">
        <f t="shared" ref="P13" si="15">AVERAGE(P10:P12)</f>
        <v>-8.8933333333333309E-2</v>
      </c>
      <c r="Q13">
        <f t="shared" ref="Q13" si="16">AVERAGE(Q10:Q12)</f>
        <v>-5.4599999999999982E-2</v>
      </c>
      <c r="R13">
        <f t="shared" ref="R13" si="17">AVERAGE(R10:R12)</f>
        <v>-5.6233333333333357E-2</v>
      </c>
      <c r="S13">
        <f t="shared" ref="S13" si="18">AVERAGE(S10:S12)</f>
        <v>-5.8233333333333283E-2</v>
      </c>
      <c r="T13">
        <f t="shared" ref="T13" si="19">AVERAGE(T10:T12)</f>
        <v>-4.2333333333333112E-3</v>
      </c>
      <c r="U13">
        <f t="shared" ref="U13" si="20">AVERAGE(U10:U12)</f>
        <v>-5.3923809523809513E-2</v>
      </c>
    </row>
    <row r="14" spans="1:21" ht="15.75" x14ac:dyDescent="0.25">
      <c r="A14" s="25"/>
      <c r="B14" s="29" t="s">
        <v>17</v>
      </c>
      <c r="C14" s="1" t="s">
        <v>14</v>
      </c>
      <c r="D14" s="6">
        <v>0.8347</v>
      </c>
      <c r="E14" s="2">
        <v>0.74150000000000005</v>
      </c>
      <c r="F14" s="2">
        <v>0.78469999999999995</v>
      </c>
      <c r="G14" s="5">
        <v>0.84719999999999995</v>
      </c>
      <c r="H14" s="2">
        <v>0.7339</v>
      </c>
      <c r="I14" s="2">
        <v>0.83160000000000001</v>
      </c>
      <c r="J14" s="2">
        <v>0.70569999999999999</v>
      </c>
      <c r="K14">
        <f t="shared" si="0"/>
        <v>0.78275714285714293</v>
      </c>
    </row>
    <row r="15" spans="1:21" ht="15.75" x14ac:dyDescent="0.25">
      <c r="A15" s="25"/>
      <c r="B15" s="25"/>
      <c r="C15" s="1" t="s">
        <v>15</v>
      </c>
      <c r="D15" s="2">
        <v>0.95020000000000004</v>
      </c>
      <c r="E15" s="2">
        <v>0.94650000000000001</v>
      </c>
      <c r="F15" s="2">
        <v>0.94840000000000002</v>
      </c>
      <c r="G15" s="6">
        <v>0.95040000000000002</v>
      </c>
      <c r="H15" s="2">
        <v>0.94469999999999998</v>
      </c>
      <c r="I15" s="5">
        <v>0.95579999999999998</v>
      </c>
      <c r="J15" s="2">
        <v>0.88639999999999997</v>
      </c>
      <c r="K15">
        <f t="shared" si="0"/>
        <v>0.94034285714285715</v>
      </c>
    </row>
    <row r="16" spans="1:21" ht="16.5" thickBot="1" x14ac:dyDescent="0.3">
      <c r="A16" s="31"/>
      <c r="B16" s="31"/>
      <c r="C16" s="15" t="s">
        <v>16</v>
      </c>
      <c r="D16" s="16">
        <v>0.94710000000000005</v>
      </c>
      <c r="E16" s="17">
        <v>0.98470000000000002</v>
      </c>
      <c r="F16" s="16">
        <v>0.96899999999999997</v>
      </c>
      <c r="G16" s="16">
        <v>0.97150000000000003</v>
      </c>
      <c r="H16" s="16">
        <v>0.96819999999999995</v>
      </c>
      <c r="I16" s="18">
        <v>0.98729999999999996</v>
      </c>
      <c r="J16" s="16">
        <v>0.93969999999999998</v>
      </c>
      <c r="K16">
        <f t="shared" si="0"/>
        <v>0.96678571428571447</v>
      </c>
    </row>
    <row r="17" spans="3:11" ht="15.75" thickTop="1" x14ac:dyDescent="0.25">
      <c r="K17" t="s">
        <v>19</v>
      </c>
    </row>
    <row r="18" spans="3:11" ht="15.75" x14ac:dyDescent="0.25">
      <c r="C18" s="32" t="s">
        <v>1</v>
      </c>
      <c r="D18">
        <f>D3-D7</f>
        <v>7.2100000000000053E-2</v>
      </c>
      <c r="E18">
        <f t="shared" ref="E18:J18" si="21">E3-E7</f>
        <v>-0.13129999999999997</v>
      </c>
      <c r="F18">
        <f t="shared" si="21"/>
        <v>0.10589999999999999</v>
      </c>
      <c r="G18">
        <f t="shared" si="21"/>
        <v>-9.6299999999999941E-2</v>
      </c>
      <c r="H18">
        <f t="shared" si="21"/>
        <v>0.31510000000000005</v>
      </c>
      <c r="I18">
        <f t="shared" si="21"/>
        <v>0.50629999999999997</v>
      </c>
      <c r="J18">
        <f t="shared" si="21"/>
        <v>1.8699999999999939E-2</v>
      </c>
      <c r="K18">
        <f>AVERAGE(D18:J18)</f>
        <v>0.11292857142857145</v>
      </c>
    </row>
    <row r="19" spans="3:11" x14ac:dyDescent="0.25">
      <c r="D19">
        <f t="shared" ref="D19:J19" si="22">D4-D8</f>
        <v>6.4999999999999503E-3</v>
      </c>
      <c r="E19">
        <f t="shared" si="22"/>
        <v>0.1381</v>
      </c>
      <c r="F19">
        <f t="shared" si="22"/>
        <v>1.2999999999999678E-3</v>
      </c>
      <c r="G19">
        <f t="shared" si="22"/>
        <v>-7.2599999999999998E-2</v>
      </c>
      <c r="H19">
        <f t="shared" si="22"/>
        <v>7.5400000000000023E-2</v>
      </c>
      <c r="I19">
        <f t="shared" si="22"/>
        <v>1.6100000000000003E-2</v>
      </c>
      <c r="J19">
        <f t="shared" si="22"/>
        <v>-0.16580000000000006</v>
      </c>
      <c r="K19">
        <f t="shared" ref="K19:K21" si="23">AVERAGE(D19:J19)</f>
        <v>-1.4285714285715883E-4</v>
      </c>
    </row>
    <row r="20" spans="3:11" x14ac:dyDescent="0.25">
      <c r="D20">
        <f t="shared" ref="D20:J20" si="24">D5-D9</f>
        <v>6.2999999999999723E-3</v>
      </c>
      <c r="E20">
        <f t="shared" si="24"/>
        <v>1.0499999999999954E-2</v>
      </c>
      <c r="F20">
        <f t="shared" si="24"/>
        <v>2.8700000000000059E-2</v>
      </c>
      <c r="G20">
        <f t="shared" si="24"/>
        <v>2.2799999999999931E-2</v>
      </c>
      <c r="H20">
        <f t="shared" si="24"/>
        <v>-2.7999999999999137E-3</v>
      </c>
      <c r="I20">
        <f t="shared" si="24"/>
        <v>2.7999999999999137E-3</v>
      </c>
      <c r="J20">
        <f t="shared" si="24"/>
        <v>6.6000000000000503E-3</v>
      </c>
      <c r="K20">
        <f t="shared" si="23"/>
        <v>1.0699999999999996E-2</v>
      </c>
    </row>
    <row r="21" spans="3:11" x14ac:dyDescent="0.25">
      <c r="D21">
        <f t="shared" ref="D21:J21" si="25">D6-D10</f>
        <v>2.410000000000001E-2</v>
      </c>
      <c r="E21">
        <f t="shared" si="25"/>
        <v>-9.299999999999975E-3</v>
      </c>
      <c r="F21">
        <f t="shared" si="25"/>
        <v>3.0799999999999939E-2</v>
      </c>
      <c r="G21">
        <f t="shared" si="25"/>
        <v>1.6199999999999992E-2</v>
      </c>
      <c r="H21">
        <f t="shared" si="25"/>
        <v>2.2199999999999998E-2</v>
      </c>
      <c r="I21">
        <f t="shared" si="25"/>
        <v>-2.6900000000000035E-2</v>
      </c>
      <c r="J21">
        <f t="shared" si="25"/>
        <v>8.329999999999993E-2</v>
      </c>
      <c r="K21">
        <f t="shared" si="23"/>
        <v>2.0057142857142836E-2</v>
      </c>
    </row>
    <row r="22" spans="3:11" x14ac:dyDescent="0.25">
      <c r="C22" t="s">
        <v>19</v>
      </c>
      <c r="D22">
        <f>AVERAGE(D18:D21)</f>
        <v>2.7249999999999996E-2</v>
      </c>
      <c r="E22">
        <f t="shared" ref="E22:J22" si="26">AVERAGE(E18:E21)</f>
        <v>2.0000000000000018E-3</v>
      </c>
      <c r="F22">
        <f t="shared" si="26"/>
        <v>4.167499999999999E-2</v>
      </c>
      <c r="G22">
        <f t="shared" si="26"/>
        <v>-3.2475000000000004E-2</v>
      </c>
      <c r="H22">
        <f t="shared" si="26"/>
        <v>0.10247500000000004</v>
      </c>
      <c r="I22">
        <f t="shared" si="26"/>
        <v>0.12457499999999996</v>
      </c>
      <c r="J22">
        <f t="shared" si="26"/>
        <v>-1.4300000000000035E-2</v>
      </c>
      <c r="K22">
        <f>AVERAGE(K18:K21)</f>
        <v>3.5885714285714285E-2</v>
      </c>
    </row>
    <row r="23" spans="3:11" x14ac:dyDescent="0.25">
      <c r="K23" t="s">
        <v>19</v>
      </c>
    </row>
    <row r="24" spans="3:11" x14ac:dyDescent="0.25">
      <c r="D24">
        <f>D11-D14</f>
        <v>7.0799999999999974E-2</v>
      </c>
      <c r="E24">
        <f t="shared" ref="E24:J24" si="27">E11-E14</f>
        <v>8.8899999999999979E-2</v>
      </c>
      <c r="F24">
        <f t="shared" si="27"/>
        <v>0.11930000000000007</v>
      </c>
      <c r="G24">
        <f t="shared" si="27"/>
        <v>4.6900000000000053E-2</v>
      </c>
      <c r="H24">
        <f t="shared" si="27"/>
        <v>0.15559999999999996</v>
      </c>
      <c r="I24">
        <f t="shared" si="27"/>
        <v>4.4699999999999962E-2</v>
      </c>
      <c r="J24">
        <f t="shared" si="27"/>
        <v>0.18500000000000005</v>
      </c>
      <c r="K24">
        <f>AVERAGE(D24:J24)</f>
        <v>0.10160000000000001</v>
      </c>
    </row>
    <row r="25" spans="3:11" x14ac:dyDescent="0.25">
      <c r="D25">
        <f t="shared" ref="D25:J25" si="28">D12-D15</f>
        <v>4.0999999999999925E-3</v>
      </c>
      <c r="E25">
        <f t="shared" si="28"/>
        <v>1.0900000000000021E-2</v>
      </c>
      <c r="F25">
        <f t="shared" si="28"/>
        <v>5.9000000000000163E-3</v>
      </c>
      <c r="G25">
        <f t="shared" si="28"/>
        <v>-4.1999999999999815E-3</v>
      </c>
      <c r="H25">
        <f t="shared" si="28"/>
        <v>-4.5499999999999985E-2</v>
      </c>
      <c r="I25">
        <f t="shared" si="28"/>
        <v>-7.8000000000000291E-3</v>
      </c>
      <c r="J25">
        <f t="shared" si="28"/>
        <v>3.4800000000000053E-2</v>
      </c>
      <c r="K25">
        <f t="shared" ref="K25:K26" si="29">AVERAGE(D25:J25)</f>
        <v>-2.5714285714284468E-4</v>
      </c>
    </row>
    <row r="26" spans="3:11" x14ac:dyDescent="0.25">
      <c r="D26">
        <f t="shared" ref="D26:J26" si="30">D13-D16</f>
        <v>4.1999999999999815E-3</v>
      </c>
      <c r="E26">
        <f t="shared" si="30"/>
        <v>-8.600000000000052E-3</v>
      </c>
      <c r="F26">
        <f t="shared" si="30"/>
        <v>8.600000000000052E-3</v>
      </c>
      <c r="G26">
        <f t="shared" si="30"/>
        <v>9.7999999999999199E-3</v>
      </c>
      <c r="H26">
        <f t="shared" si="30"/>
        <v>7.0999999999999952E-3</v>
      </c>
      <c r="I26">
        <f t="shared" si="30"/>
        <v>-2.2299999999999986E-2</v>
      </c>
      <c r="J26">
        <f t="shared" si="30"/>
        <v>1.1600000000000055E-2</v>
      </c>
      <c r="K26">
        <f t="shared" si="29"/>
        <v>1.4857142857142808E-3</v>
      </c>
    </row>
    <row r="27" spans="3:11" x14ac:dyDescent="0.25">
      <c r="C27" t="s">
        <v>19</v>
      </c>
      <c r="D27">
        <f>AVERAGE(D24:D26)</f>
        <v>2.6366666666666649E-2</v>
      </c>
      <c r="E27">
        <f t="shared" ref="E27:J27" si="31">AVERAGE(E24:E26)</f>
        <v>3.0399999999999983E-2</v>
      </c>
      <c r="F27">
        <f t="shared" si="31"/>
        <v>4.4600000000000049E-2</v>
      </c>
      <c r="G27">
        <f t="shared" si="31"/>
        <v>1.7499999999999998E-2</v>
      </c>
      <c r="H27">
        <f t="shared" si="31"/>
        <v>3.9066666666666659E-2</v>
      </c>
      <c r="I27">
        <f t="shared" si="31"/>
        <v>4.8666666666666485E-3</v>
      </c>
      <c r="J27">
        <f t="shared" si="31"/>
        <v>7.7133333333333387E-2</v>
      </c>
      <c r="K27">
        <f>AVERAGE(K24:K26)</f>
        <v>3.4276190476190481E-2</v>
      </c>
    </row>
  </sheetData>
  <mergeCells count="15">
    <mergeCell ref="A11:A16"/>
    <mergeCell ref="B11:B13"/>
    <mergeCell ref="B14:B16"/>
    <mergeCell ref="H1:H2"/>
    <mergeCell ref="I1:I2"/>
    <mergeCell ref="J1:J2"/>
    <mergeCell ref="A3:A10"/>
    <mergeCell ref="B3:B6"/>
    <mergeCell ref="B7:B10"/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2026-05-04T13:46:08Z</dcterms:created>
  <dcterms:modified xsi:type="dcterms:W3CDTF">2026-05-05T13:57:38Z</dcterms:modified>
</cp:coreProperties>
</file>