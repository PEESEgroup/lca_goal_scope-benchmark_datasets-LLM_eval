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PycharmProjects\llm-goal-scope\data\dataset\results\"/>
    </mc:Choice>
  </mc:AlternateContent>
  <xr:revisionPtr revIDLastSave="0" documentId="13_ncr:1_{5607100B-77AD-464C-BCB2-30ADD8620400}" xr6:coauthVersionLast="47" xr6:coauthVersionMax="47" xr10:uidLastSave="{00000000-0000-0000-0000-000000000000}"/>
  <bookViews>
    <workbookView xWindow="-105" yWindow="0" windowWidth="14610" windowHeight="17385" xr2:uid="{D25027FC-FC27-47EF-8BDA-CB9196E40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3" i="1"/>
  <c r="P12" i="1"/>
  <c r="Q21" i="1"/>
  <c r="R21" i="1"/>
  <c r="S21" i="1"/>
  <c r="U21" i="1"/>
  <c r="V21" i="1"/>
  <c r="W21" i="1"/>
  <c r="Q22" i="1"/>
  <c r="R22" i="1"/>
  <c r="S22" i="1"/>
  <c r="U22" i="1"/>
  <c r="V22" i="1"/>
  <c r="W22" i="1"/>
  <c r="Q23" i="1"/>
  <c r="R23" i="1"/>
  <c r="S23" i="1"/>
  <c r="U23" i="1"/>
  <c r="V23" i="1"/>
  <c r="W23" i="1"/>
  <c r="Q24" i="1"/>
  <c r="R24" i="1"/>
  <c r="S24" i="1"/>
  <c r="U24" i="1"/>
  <c r="V24" i="1"/>
  <c r="W24" i="1"/>
  <c r="Q25" i="1"/>
  <c r="R25" i="1"/>
  <c r="S25" i="1"/>
  <c r="U25" i="1"/>
  <c r="V25" i="1"/>
  <c r="W25" i="1"/>
  <c r="Q26" i="1"/>
  <c r="R26" i="1"/>
  <c r="S26" i="1"/>
  <c r="U26" i="1"/>
  <c r="V26" i="1"/>
  <c r="W26" i="1"/>
  <c r="Q27" i="1"/>
  <c r="R27" i="1"/>
  <c r="S27" i="1"/>
  <c r="U27" i="1"/>
  <c r="V27" i="1"/>
  <c r="W27" i="1"/>
  <c r="Q28" i="1"/>
  <c r="X28" i="1" s="1"/>
  <c r="AC28" i="1" s="1"/>
  <c r="R28" i="1"/>
  <c r="S28" i="1"/>
  <c r="U28" i="1"/>
  <c r="V28" i="1"/>
  <c r="W28" i="1"/>
  <c r="Q29" i="1"/>
  <c r="R29" i="1"/>
  <c r="S29" i="1"/>
  <c r="U29" i="1"/>
  <c r="V29" i="1"/>
  <c r="X29" i="1" s="1"/>
  <c r="AC29" i="1" s="1"/>
  <c r="W29" i="1"/>
  <c r="Q30" i="1"/>
  <c r="R30" i="1"/>
  <c r="S30" i="1"/>
  <c r="U30" i="1"/>
  <c r="V30" i="1"/>
  <c r="W30" i="1"/>
  <c r="Q31" i="1"/>
  <c r="R31" i="1"/>
  <c r="S31" i="1"/>
  <c r="U31" i="1"/>
  <c r="V31" i="1"/>
  <c r="X31" i="1" s="1"/>
  <c r="AC31" i="1" s="1"/>
  <c r="W31" i="1"/>
  <c r="Q32" i="1"/>
  <c r="R32" i="1"/>
  <c r="S32" i="1"/>
  <c r="U32" i="1"/>
  <c r="V32" i="1"/>
  <c r="W32" i="1"/>
  <c r="Q33" i="1"/>
  <c r="R33" i="1"/>
  <c r="S33" i="1"/>
  <c r="U33" i="1"/>
  <c r="V33" i="1"/>
  <c r="W33" i="1"/>
  <c r="W20" i="1"/>
  <c r="V20" i="1"/>
  <c r="U20" i="1"/>
  <c r="S20" i="1"/>
  <c r="R20" i="1"/>
  <c r="Q20" i="1"/>
  <c r="I27" i="1"/>
  <c r="P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3" i="1"/>
  <c r="D20" i="1"/>
  <c r="P7" i="1"/>
  <c r="AC19" i="1"/>
  <c r="P5" i="1"/>
  <c r="P16" i="1"/>
  <c r="P17" i="1"/>
  <c r="P15" i="1"/>
  <c r="P14" i="1"/>
  <c r="P13" i="1"/>
  <c r="P8" i="1"/>
  <c r="P9" i="1"/>
  <c r="X22" i="1"/>
  <c r="AC22" i="1" s="1"/>
  <c r="X25" i="1"/>
  <c r="AC25" i="1" s="1"/>
  <c r="X26" i="1"/>
  <c r="AC26" i="1" s="1"/>
  <c r="P4" i="1"/>
  <c r="P6" i="1"/>
  <c r="D33" i="1"/>
  <c r="E33" i="1"/>
  <c r="F33" i="1"/>
  <c r="G33" i="1"/>
  <c r="H33" i="1"/>
  <c r="I33" i="1"/>
  <c r="J33" i="1"/>
  <c r="D32" i="1"/>
  <c r="E32" i="1"/>
  <c r="F32" i="1"/>
  <c r="G32" i="1"/>
  <c r="H32" i="1"/>
  <c r="I32" i="1"/>
  <c r="J32" i="1"/>
  <c r="D31" i="1"/>
  <c r="E31" i="1"/>
  <c r="F31" i="1"/>
  <c r="G31" i="1"/>
  <c r="H31" i="1"/>
  <c r="I31" i="1"/>
  <c r="J31" i="1"/>
  <c r="D30" i="1"/>
  <c r="E30" i="1"/>
  <c r="F30" i="1"/>
  <c r="G30" i="1"/>
  <c r="H30" i="1"/>
  <c r="I30" i="1"/>
  <c r="J30" i="1"/>
  <c r="D29" i="1"/>
  <c r="E29" i="1"/>
  <c r="F29" i="1"/>
  <c r="G29" i="1"/>
  <c r="H29" i="1"/>
  <c r="I29" i="1"/>
  <c r="J29" i="1"/>
  <c r="D28" i="1"/>
  <c r="E28" i="1"/>
  <c r="F28" i="1"/>
  <c r="G28" i="1"/>
  <c r="H28" i="1"/>
  <c r="I28" i="1"/>
  <c r="J28" i="1"/>
  <c r="D27" i="1"/>
  <c r="E27" i="1"/>
  <c r="F27" i="1"/>
  <c r="G27" i="1"/>
  <c r="H27" i="1"/>
  <c r="J27" i="1"/>
  <c r="D26" i="1"/>
  <c r="E26" i="1"/>
  <c r="F26" i="1"/>
  <c r="G26" i="1"/>
  <c r="H26" i="1"/>
  <c r="I26" i="1"/>
  <c r="J26" i="1"/>
  <c r="D25" i="1"/>
  <c r="E25" i="1"/>
  <c r="F25" i="1"/>
  <c r="G25" i="1"/>
  <c r="H25" i="1"/>
  <c r="J25" i="1"/>
  <c r="D24" i="1"/>
  <c r="E24" i="1"/>
  <c r="F24" i="1"/>
  <c r="G24" i="1"/>
  <c r="H24" i="1"/>
  <c r="I24" i="1"/>
  <c r="J24" i="1"/>
  <c r="D23" i="1"/>
  <c r="E23" i="1"/>
  <c r="F23" i="1"/>
  <c r="G23" i="1"/>
  <c r="H23" i="1"/>
  <c r="I23" i="1"/>
  <c r="J23" i="1"/>
  <c r="D22" i="1"/>
  <c r="E22" i="1"/>
  <c r="F22" i="1"/>
  <c r="G22" i="1"/>
  <c r="H22" i="1"/>
  <c r="I22" i="1"/>
  <c r="J22" i="1"/>
  <c r="D21" i="1"/>
  <c r="E21" i="1"/>
  <c r="F21" i="1"/>
  <c r="G21" i="1"/>
  <c r="H21" i="1"/>
  <c r="I21" i="1"/>
  <c r="J21" i="1"/>
  <c r="E20" i="1"/>
  <c r="F20" i="1"/>
  <c r="G20" i="1"/>
  <c r="H20" i="1"/>
  <c r="I20" i="1"/>
  <c r="J20" i="1"/>
  <c r="X20" i="1" l="1"/>
  <c r="AC20" i="1" s="1"/>
  <c r="X27" i="1"/>
  <c r="AC27" i="1" s="1"/>
  <c r="X30" i="1"/>
  <c r="AC30" i="1" s="1"/>
  <c r="X24" i="1"/>
  <c r="AC24" i="1" s="1"/>
  <c r="X33" i="1"/>
  <c r="AC33" i="1" s="1"/>
  <c r="X23" i="1"/>
  <c r="AC23" i="1" s="1"/>
  <c r="X32" i="1"/>
  <c r="AC32" i="1" s="1"/>
  <c r="X21" i="1"/>
  <c r="AC21" i="1" s="1"/>
  <c r="H34" i="1"/>
  <c r="I34" i="1"/>
  <c r="G34" i="1"/>
  <c r="J34" i="1"/>
  <c r="D34" i="1"/>
  <c r="F34" i="1"/>
  <c r="E34" i="1"/>
  <c r="J35" i="1" l="1"/>
  <c r="H35" i="1"/>
  <c r="F35" i="1"/>
  <c r="E35" i="1"/>
  <c r="I35" i="1"/>
  <c r="D35" i="1"/>
  <c r="G35" i="1"/>
</calcChain>
</file>

<file path=xl/sharedStrings.xml><?xml version="1.0" encoding="utf-8"?>
<sst xmlns="http://schemas.openxmlformats.org/spreadsheetml/2006/main" count="260" uniqueCount="31">
  <si>
    <t>Dataset</t>
  </si>
  <si>
    <t>RAG</t>
  </si>
  <si>
    <t>Task</t>
  </si>
  <si>
    <t>Original</t>
  </si>
  <si>
    <t>No</t>
  </si>
  <si>
    <t>Allocation</t>
  </si>
  <si>
    <t>Functional Unit</t>
  </si>
  <si>
    <t>Product of Interest</t>
  </si>
  <si>
    <t>System Boundary</t>
  </si>
  <si>
    <t>Yes</t>
  </si>
  <si>
    <t>Standardized</t>
  </si>
  <si>
    <t>Average Ranking</t>
  </si>
  <si>
    <t>Rank of Average Rank</t>
  </si>
  <si>
    <t>RAG Test</t>
  </si>
  <si>
    <t>Standardized Test</t>
  </si>
  <si>
    <t>t-test value</t>
  </si>
  <si>
    <t>No RAG</t>
  </si>
  <si>
    <t>T-Test</t>
  </si>
  <si>
    <t>Model</t>
  </si>
  <si>
    <t>ESGBERT/EnvironmentalBERT-base</t>
  </si>
  <si>
    <t>FacebookAI/roberta-large</t>
  </si>
  <si>
    <t>climatebert/distilroberta-base-climate-f</t>
  </si>
  <si>
    <t>google-bert/bert-base-uncased</t>
  </si>
  <si>
    <t>microsoft/deberta-v3-base</t>
  </si>
  <si>
    <t>microsoft/deberta-v3-large</t>
  </si>
  <si>
    <t>microsoft/deberta-v3-small</t>
  </si>
  <si>
    <t>Macro-weighted Precision</t>
  </si>
  <si>
    <t>Model Ranking</t>
  </si>
  <si>
    <t>T-Tests</t>
  </si>
  <si>
    <t>Maximum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</si>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</sst>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D3B7-B81B-47D0-9AD4-22DBA1CA522C}">
  <dimension ref="A1:AC35"/>
  <sheetViews>
    <sheetView tabSelected="1" workbookViewId="0">
      <selection activeCell="K28" sqref="K28"/>
    </sheetView>
  </sheetViews>
  <sheetFormatPr defaultRowHeight="15" x14ac:dyDescent="0.25"/>
  <cols>
    <col min="1" max="1" width="12.28515625" bestFit="1" customWidth="1"/>
    <col min="4" max="4" width="10.140625" bestFit="1" customWidth="1"/>
    <col min="12" max="12" width="25.7109375" bestFit="1" customWidth="1"/>
    <col min="15" max="15" width="12.5703125" bestFit="1" customWidth="1"/>
    <col min="16" max="17" width="17.42578125" bestFit="1" customWidth="1"/>
    <col min="24" max="24" width="15" bestFit="1" customWidth="1"/>
    <col min="29" max="29" width="9.5703125" bestFit="1" customWidth="1"/>
  </cols>
  <sheetData>
    <row r="1" spans="1:28" x14ac:dyDescent="0.25">
      <c r="A1" s="3" t="s">
        <v>26</v>
      </c>
      <c r="B1" s="3"/>
      <c r="C1" s="3"/>
      <c r="D1" s="3"/>
      <c r="E1" s="3"/>
      <c r="F1" s="3"/>
      <c r="G1" s="3"/>
      <c r="H1" s="3"/>
      <c r="I1" s="3"/>
      <c r="J1" s="3"/>
      <c r="N1" s="3" t="s">
        <v>28</v>
      </c>
      <c r="O1" s="3"/>
      <c r="P1" s="3"/>
    </row>
    <row r="2" spans="1:28" x14ac:dyDescent="0.25">
      <c r="A2" t="s">
        <v>0</v>
      </c>
      <c r="B2" t="s">
        <v>1</v>
      </c>
      <c r="C2" t="s">
        <v>2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29</v>
      </c>
      <c r="O2" t="s">
        <v>13</v>
      </c>
      <c r="P2" t="s">
        <v>15</v>
      </c>
      <c r="R2" t="s">
        <v>0</v>
      </c>
      <c r="S2" t="s">
        <v>1</v>
      </c>
      <c r="T2" t="s">
        <v>2</v>
      </c>
      <c r="U2" t="s">
        <v>30</v>
      </c>
      <c r="V2" t="s">
        <v>29</v>
      </c>
      <c r="W2" t="s">
        <v>18</v>
      </c>
    </row>
    <row r="3" spans="1:28" x14ac:dyDescent="0.25">
      <c r="A3" t="s">
        <v>3</v>
      </c>
      <c r="B3" t="s">
        <v>4</v>
      </c>
      <c r="C3" t="s">
        <v>5</v>
      </c>
      <c r="D3" s="2">
        <v>0.25164835164835098</v>
      </c>
      <c r="E3" s="2">
        <v>0.31481481481481399</v>
      </c>
      <c r="F3" s="2">
        <v>0.44775132275132201</v>
      </c>
      <c r="G3" s="2">
        <v>0.53939716999418497</v>
      </c>
      <c r="H3" s="2">
        <v>0.61033411033411</v>
      </c>
      <c r="I3" s="2">
        <v>0.40201465201465197</v>
      </c>
      <c r="J3" s="2">
        <v>0.14583333333333301</v>
      </c>
      <c r="K3" s="2">
        <f>MAX(D3:J3)</f>
        <v>0.61033411033411</v>
      </c>
      <c r="N3" t="s">
        <v>3</v>
      </c>
      <c r="O3" t="s">
        <v>5</v>
      </c>
      <c r="P3" s="1">
        <f>_xlfn.T.TEST(D3:J3,D7:J7,2,1)</f>
        <v>0.4135198317247728</v>
      </c>
      <c r="R3" t="s">
        <v>3</v>
      </c>
      <c r="S3" t="s">
        <v>4</v>
      </c>
      <c r="T3" t="s">
        <v>5</v>
      </c>
      <c r="U3" s="2">
        <f>AVERAGE(D3:K3)</f>
        <v>0.4152659831531097</v>
      </c>
      <c r="V3" s="2">
        <f>K3</f>
        <v>0.61033411033411</v>
      </c>
    </row>
    <row r="4" spans="1:28" x14ac:dyDescent="0.25">
      <c r="A4" t="s">
        <v>3</v>
      </c>
      <c r="B4" t="s">
        <v>4</v>
      </c>
      <c r="C4" t="s">
        <v>6</v>
      </c>
      <c r="D4" s="2">
        <v>0.85049683830171596</v>
      </c>
      <c r="E4" s="2">
        <v>0.88888888888888795</v>
      </c>
      <c r="F4" s="2">
        <v>0.88753387533875305</v>
      </c>
      <c r="G4" s="2">
        <v>0.88753387533875305</v>
      </c>
      <c r="H4" s="2">
        <v>0.88753387533875305</v>
      </c>
      <c r="I4" s="2">
        <v>0.64176706827309205</v>
      </c>
      <c r="J4" s="2">
        <v>0.88888888888888795</v>
      </c>
      <c r="K4" s="2">
        <f t="shared" ref="K4:K16" si="0">MAX(D4:J4)</f>
        <v>0.88888888888888795</v>
      </c>
      <c r="N4" t="s">
        <v>3</v>
      </c>
      <c r="O4" t="s">
        <v>6</v>
      </c>
      <c r="P4" s="1">
        <f>_xlfn.T.TEST(D4:J4,D8:J8,2,1)</f>
        <v>0.37589475587083437</v>
      </c>
      <c r="R4" t="s">
        <v>3</v>
      </c>
      <c r="S4" t="s">
        <v>4</v>
      </c>
      <c r="T4" t="s">
        <v>6</v>
      </c>
      <c r="U4" s="2">
        <f t="shared" ref="U4:U16" si="1">AVERAGE(D4:K4)</f>
        <v>0.85269152490721623</v>
      </c>
      <c r="V4" s="2">
        <f t="shared" ref="V4:V16" si="2">K4</f>
        <v>0.88888888888888795</v>
      </c>
      <c r="X4" s="5"/>
    </row>
    <row r="5" spans="1:28" x14ac:dyDescent="0.25">
      <c r="A5" t="s">
        <v>3</v>
      </c>
      <c r="B5" t="s">
        <v>4</v>
      </c>
      <c r="C5" t="s">
        <v>7</v>
      </c>
      <c r="D5" s="2">
        <v>0.54838709677419295</v>
      </c>
      <c r="E5" s="2">
        <v>0.56451612903225801</v>
      </c>
      <c r="F5" s="2">
        <v>0.54838709677419295</v>
      </c>
      <c r="G5" s="2">
        <v>0.532258064516129</v>
      </c>
      <c r="H5" s="2">
        <v>0.54838709677419295</v>
      </c>
      <c r="I5" s="2">
        <v>0.56451612903225801</v>
      </c>
      <c r="J5" s="2">
        <v>0.532258064516129</v>
      </c>
      <c r="K5" s="2">
        <f t="shared" si="0"/>
        <v>0.56451612903225801</v>
      </c>
      <c r="N5" t="s">
        <v>3</v>
      </c>
      <c r="O5" t="s">
        <v>7</v>
      </c>
      <c r="P5" s="1">
        <f>_xlfn.T.TEST(D5:J5,D9:J9,2,1)</f>
        <v>0.88957907191889296</v>
      </c>
      <c r="R5" t="s">
        <v>3</v>
      </c>
      <c r="S5" t="s">
        <v>4</v>
      </c>
      <c r="T5" t="s">
        <v>7</v>
      </c>
      <c r="U5" s="2">
        <f t="shared" si="1"/>
        <v>0.5504032258064514</v>
      </c>
      <c r="V5" s="2">
        <f t="shared" si="2"/>
        <v>0.56451612903225801</v>
      </c>
      <c r="X5" s="5"/>
    </row>
    <row r="6" spans="1:28" x14ac:dyDescent="0.25">
      <c r="A6" t="s">
        <v>3</v>
      </c>
      <c r="B6" t="s">
        <v>4</v>
      </c>
      <c r="C6" t="s">
        <v>8</v>
      </c>
      <c r="D6" s="2">
        <v>0.93268535020237997</v>
      </c>
      <c r="E6" s="2">
        <v>0.93693624809750697</v>
      </c>
      <c r="F6" s="2">
        <v>0.937398235085805</v>
      </c>
      <c r="G6" s="2">
        <v>0.93921254899805395</v>
      </c>
      <c r="H6" s="2">
        <v>0.94103105767865403</v>
      </c>
      <c r="I6" s="2">
        <v>0.93818995798279103</v>
      </c>
      <c r="J6" s="2">
        <v>0.93469363288751905</v>
      </c>
      <c r="K6" s="2">
        <f t="shared" si="0"/>
        <v>0.94103105767865403</v>
      </c>
      <c r="N6" t="s">
        <v>3</v>
      </c>
      <c r="O6" t="s">
        <v>8</v>
      </c>
      <c r="P6" s="1">
        <f>_xlfn.T.TEST(D6:J6,D10:J10,2,1)</f>
        <v>0.92832456705920974</v>
      </c>
      <c r="R6" t="s">
        <v>3</v>
      </c>
      <c r="S6" t="s">
        <v>4</v>
      </c>
      <c r="T6" t="s">
        <v>8</v>
      </c>
      <c r="U6" s="2">
        <f t="shared" si="1"/>
        <v>0.9376472610764206</v>
      </c>
      <c r="V6" s="2">
        <f t="shared" si="2"/>
        <v>0.94103105767865403</v>
      </c>
      <c r="X6" s="5"/>
      <c r="AB6" s="2"/>
    </row>
    <row r="7" spans="1:28" x14ac:dyDescent="0.25">
      <c r="A7" t="s">
        <v>3</v>
      </c>
      <c r="B7" t="s">
        <v>9</v>
      </c>
      <c r="C7" t="s">
        <v>5</v>
      </c>
      <c r="D7" s="2">
        <v>0.416901408450704</v>
      </c>
      <c r="E7" s="2">
        <v>0.51165501165501104</v>
      </c>
      <c r="F7" s="2">
        <v>0.48756218905472598</v>
      </c>
      <c r="G7" s="2">
        <v>0.43153594771241799</v>
      </c>
      <c r="H7" s="2">
        <v>0.391666666666666</v>
      </c>
      <c r="I7" s="2">
        <v>0.45571658615136801</v>
      </c>
      <c r="J7" s="2">
        <v>0.42274305555555503</v>
      </c>
      <c r="K7" s="2">
        <f t="shared" si="0"/>
        <v>0.51165501165501104</v>
      </c>
      <c r="N7" t="s">
        <v>10</v>
      </c>
      <c r="O7" t="s">
        <v>6</v>
      </c>
      <c r="P7" s="1">
        <f>_xlfn.T.TEST(D11:J11,D14:J14,2,1)</f>
        <v>0.71054454046162729</v>
      </c>
      <c r="R7" t="s">
        <v>3</v>
      </c>
      <c r="S7" t="s">
        <v>9</v>
      </c>
      <c r="T7" t="s">
        <v>5</v>
      </c>
      <c r="U7" s="2">
        <f t="shared" si="1"/>
        <v>0.45367948461268237</v>
      </c>
      <c r="V7" s="2">
        <f t="shared" si="2"/>
        <v>0.51165501165501104</v>
      </c>
      <c r="X7" s="5"/>
    </row>
    <row r="8" spans="1:28" x14ac:dyDescent="0.25">
      <c r="A8" t="s">
        <v>3</v>
      </c>
      <c r="B8" t="s">
        <v>9</v>
      </c>
      <c r="C8" t="s">
        <v>6</v>
      </c>
      <c r="D8" s="2">
        <v>0.88753387533875305</v>
      </c>
      <c r="E8" s="2">
        <v>0.88753387533875305</v>
      </c>
      <c r="F8" s="2">
        <v>0.85049683830171596</v>
      </c>
      <c r="G8" s="2">
        <v>0.88753387533875305</v>
      </c>
      <c r="H8" s="2">
        <v>0.88753387533875305</v>
      </c>
      <c r="I8" s="2">
        <v>0.88888888888888795</v>
      </c>
      <c r="J8" s="2">
        <v>0.88617886178861704</v>
      </c>
      <c r="K8" s="2">
        <f t="shared" si="0"/>
        <v>0.88888888888888795</v>
      </c>
      <c r="N8" t="s">
        <v>10</v>
      </c>
      <c r="O8" t="s">
        <v>7</v>
      </c>
      <c r="P8" s="1">
        <f>_xlfn.T.TEST(D12:J12,D15:J15,2,1)</f>
        <v>0.59387867307281961</v>
      </c>
      <c r="R8" t="s">
        <v>3</v>
      </c>
      <c r="S8" t="s">
        <v>9</v>
      </c>
      <c r="T8" t="s">
        <v>6</v>
      </c>
      <c r="U8" s="2">
        <f t="shared" si="1"/>
        <v>0.88307362240289011</v>
      </c>
      <c r="V8" s="2">
        <f t="shared" si="2"/>
        <v>0.88888888888888795</v>
      </c>
    </row>
    <row r="9" spans="1:28" x14ac:dyDescent="0.25">
      <c r="A9" t="s">
        <v>3</v>
      </c>
      <c r="B9" t="s">
        <v>9</v>
      </c>
      <c r="C9" t="s">
        <v>7</v>
      </c>
      <c r="D9" s="2">
        <v>0.54838709677419295</v>
      </c>
      <c r="E9" s="2">
        <v>0.56451612903225801</v>
      </c>
      <c r="F9" s="2">
        <v>0.54838709677419295</v>
      </c>
      <c r="G9" s="2">
        <v>0.54838709677419295</v>
      </c>
      <c r="H9" s="2">
        <v>0.54838709677419295</v>
      </c>
      <c r="I9" s="2">
        <v>0.56451612903225801</v>
      </c>
      <c r="J9" s="2">
        <v>0.51209677419354804</v>
      </c>
      <c r="K9" s="2">
        <f t="shared" si="0"/>
        <v>0.56451612903225801</v>
      </c>
      <c r="N9" t="s">
        <v>10</v>
      </c>
      <c r="O9" t="s">
        <v>8</v>
      </c>
      <c r="P9" s="1">
        <f>_xlfn.T.TEST(D13:J13,D16:J16,2,1)</f>
        <v>0.28896857561469869</v>
      </c>
      <c r="R9" t="s">
        <v>3</v>
      </c>
      <c r="S9" t="s">
        <v>9</v>
      </c>
      <c r="T9" t="s">
        <v>7</v>
      </c>
      <c r="U9" s="2">
        <f t="shared" si="1"/>
        <v>0.54989919354838679</v>
      </c>
      <c r="V9" s="2">
        <f t="shared" si="2"/>
        <v>0.56451612903225801</v>
      </c>
    </row>
    <row r="10" spans="1:28" x14ac:dyDescent="0.25">
      <c r="A10" t="s">
        <v>3</v>
      </c>
      <c r="B10" t="s">
        <v>9</v>
      </c>
      <c r="C10" t="s">
        <v>8</v>
      </c>
      <c r="D10" s="2">
        <v>0.93973917514745398</v>
      </c>
      <c r="E10" s="2">
        <v>0.93764496357021698</v>
      </c>
      <c r="F10" s="2">
        <v>0.93944455915457203</v>
      </c>
      <c r="G10" s="2">
        <v>0.936997318893808</v>
      </c>
      <c r="H10" s="2">
        <v>0.93419117816160502</v>
      </c>
      <c r="I10" s="2">
        <v>0.93158403611311402</v>
      </c>
      <c r="J10" s="2">
        <v>0.93922463682158897</v>
      </c>
      <c r="K10" s="2">
        <f t="shared" si="0"/>
        <v>0.93973917514745398</v>
      </c>
      <c r="R10" t="s">
        <v>3</v>
      </c>
      <c r="S10" t="s">
        <v>9</v>
      </c>
      <c r="T10" t="s">
        <v>8</v>
      </c>
      <c r="U10" s="2">
        <f t="shared" si="1"/>
        <v>0.93732063037622659</v>
      </c>
      <c r="V10" s="2">
        <f t="shared" si="2"/>
        <v>0.93973917514745398</v>
      </c>
    </row>
    <row r="11" spans="1:28" x14ac:dyDescent="0.25">
      <c r="A11" t="s">
        <v>10</v>
      </c>
      <c r="B11" t="s">
        <v>4</v>
      </c>
      <c r="C11" t="s">
        <v>6</v>
      </c>
      <c r="D11" s="2">
        <v>0.99572649572649496</v>
      </c>
      <c r="E11" s="2">
        <v>1</v>
      </c>
      <c r="F11" s="2">
        <v>1</v>
      </c>
      <c r="G11" s="2">
        <v>0.98611111111111105</v>
      </c>
      <c r="H11" s="2">
        <v>1</v>
      </c>
      <c r="I11" s="2">
        <v>0.99572649572649496</v>
      </c>
      <c r="J11" s="2">
        <v>0.97530864197530798</v>
      </c>
      <c r="K11" s="2">
        <f t="shared" si="0"/>
        <v>1</v>
      </c>
      <c r="O11" t="s">
        <v>14</v>
      </c>
      <c r="P11" t="s">
        <v>15</v>
      </c>
      <c r="R11" t="s">
        <v>10</v>
      </c>
      <c r="S11" t="s">
        <v>4</v>
      </c>
      <c r="T11" t="s">
        <v>6</v>
      </c>
      <c r="U11" s="2">
        <f t="shared" si="1"/>
        <v>0.99410909306742612</v>
      </c>
      <c r="V11" s="2">
        <f t="shared" si="2"/>
        <v>1</v>
      </c>
    </row>
    <row r="12" spans="1:28" ht="17.25" customHeight="1" x14ac:dyDescent="0.25">
      <c r="A12" t="s">
        <v>10</v>
      </c>
      <c r="B12" t="s">
        <v>4</v>
      </c>
      <c r="C12" t="s">
        <v>7</v>
      </c>
      <c r="D12" s="2">
        <v>0.71186440677966101</v>
      </c>
      <c r="E12" s="2">
        <v>0.71186440677966101</v>
      </c>
      <c r="F12" s="2">
        <v>0.68926553672316304</v>
      </c>
      <c r="G12" s="2">
        <v>0.677966101694915</v>
      </c>
      <c r="H12" s="2">
        <v>0.677966101694915</v>
      </c>
      <c r="I12" s="2">
        <v>0.71186440677966101</v>
      </c>
      <c r="J12" s="2">
        <v>0.62288135593220295</v>
      </c>
      <c r="K12" s="2">
        <f t="shared" si="0"/>
        <v>0.71186440677966101</v>
      </c>
      <c r="N12" s="4" t="s">
        <v>16</v>
      </c>
      <c r="O12" t="s">
        <v>6</v>
      </c>
      <c r="P12" s="1">
        <f>_xlfn.T.TEST(D4:J4,D11:J11,2,1)</f>
        <v>6.2032443080274648E-3</v>
      </c>
      <c r="R12" t="s">
        <v>10</v>
      </c>
      <c r="S12" t="s">
        <v>4</v>
      </c>
      <c r="T12" t="s">
        <v>7</v>
      </c>
      <c r="U12" s="2">
        <f t="shared" si="1"/>
        <v>0.6894420903954801</v>
      </c>
      <c r="V12" s="2">
        <f t="shared" si="2"/>
        <v>0.71186440677966101</v>
      </c>
    </row>
    <row r="13" spans="1:28" x14ac:dyDescent="0.25">
      <c r="A13" t="s">
        <v>10</v>
      </c>
      <c r="B13" t="s">
        <v>4</v>
      </c>
      <c r="C13" t="s">
        <v>8</v>
      </c>
      <c r="D13" s="2">
        <v>0.91333063316442797</v>
      </c>
      <c r="E13" s="2">
        <v>0.93055030097717195</v>
      </c>
      <c r="F13" s="2">
        <v>0.91151442820615702</v>
      </c>
      <c r="G13" s="2">
        <v>0.90245218913699399</v>
      </c>
      <c r="H13" s="2">
        <v>0.92046569313716597</v>
      </c>
      <c r="I13" s="2">
        <v>0.91508525064456303</v>
      </c>
      <c r="J13" s="2">
        <v>0.92116310943551005</v>
      </c>
      <c r="K13" s="2">
        <f t="shared" si="0"/>
        <v>0.93055030097717195</v>
      </c>
      <c r="N13" s="4"/>
      <c r="O13" t="s">
        <v>7</v>
      </c>
      <c r="P13" s="1">
        <f>_xlfn.T.TEST(D5:J5,D12:J12,2,1)</f>
        <v>4.1130660214394762E-6</v>
      </c>
      <c r="R13" t="s">
        <v>10</v>
      </c>
      <c r="S13" t="s">
        <v>4</v>
      </c>
      <c r="T13" t="s">
        <v>8</v>
      </c>
      <c r="U13" s="2">
        <f t="shared" si="1"/>
        <v>0.91813898820989537</v>
      </c>
      <c r="V13" s="2">
        <f t="shared" si="2"/>
        <v>0.93055030097717195</v>
      </c>
    </row>
    <row r="14" spans="1:28" x14ac:dyDescent="0.25">
      <c r="A14" t="s">
        <v>10</v>
      </c>
      <c r="B14" t="s">
        <v>9</v>
      </c>
      <c r="C14" t="s">
        <v>6</v>
      </c>
      <c r="D14" s="2">
        <v>0.97855750487329396</v>
      </c>
      <c r="E14" s="2">
        <v>1</v>
      </c>
      <c r="F14" s="2">
        <v>1</v>
      </c>
      <c r="G14" s="2">
        <v>0.99711399711399695</v>
      </c>
      <c r="H14" s="2">
        <v>0.98611111111111105</v>
      </c>
      <c r="I14" s="2">
        <v>0.97855750487329396</v>
      </c>
      <c r="J14" s="2">
        <v>0.99711399711399695</v>
      </c>
      <c r="K14" s="2">
        <f t="shared" si="0"/>
        <v>1</v>
      </c>
      <c r="N14" s="4"/>
      <c r="O14" t="s">
        <v>8</v>
      </c>
      <c r="P14" s="1">
        <f>_xlfn.T.TEST(D6:J6,D13:J13,2,1)</f>
        <v>1.199668002473845E-3</v>
      </c>
      <c r="R14" t="s">
        <v>10</v>
      </c>
      <c r="S14" t="s">
        <v>9</v>
      </c>
      <c r="T14" t="s">
        <v>6</v>
      </c>
      <c r="U14" s="2">
        <f t="shared" si="1"/>
        <v>0.9921817643857116</v>
      </c>
      <c r="V14" s="2">
        <f t="shared" si="2"/>
        <v>1</v>
      </c>
    </row>
    <row r="15" spans="1:28" x14ac:dyDescent="0.25">
      <c r="A15" t="s">
        <v>10</v>
      </c>
      <c r="B15" t="s">
        <v>9</v>
      </c>
      <c r="C15" t="s">
        <v>7</v>
      </c>
      <c r="D15" s="2">
        <v>0.71186440677966101</v>
      </c>
      <c r="E15" s="2">
        <v>0.71186440677966101</v>
      </c>
      <c r="F15" s="2">
        <v>0.68852861704740798</v>
      </c>
      <c r="G15" s="2">
        <v>0.69491525423728795</v>
      </c>
      <c r="H15" s="2">
        <v>0.69491525423728795</v>
      </c>
      <c r="I15" s="2">
        <v>0.71186440677966101</v>
      </c>
      <c r="J15" s="2">
        <v>0.53672316384180696</v>
      </c>
      <c r="K15" s="2">
        <f t="shared" si="0"/>
        <v>0.71186440677966101</v>
      </c>
      <c r="N15" s="4" t="s">
        <v>1</v>
      </c>
      <c r="O15" t="s">
        <v>6</v>
      </c>
      <c r="P15" s="1">
        <f>_xlfn.T.TEST(D8:J8,D14:J14,2,1)</f>
        <v>7.5800615073385445E-6</v>
      </c>
      <c r="R15" t="s">
        <v>10</v>
      </c>
      <c r="S15" t="s">
        <v>9</v>
      </c>
      <c r="T15" t="s">
        <v>7</v>
      </c>
      <c r="U15" s="2">
        <f t="shared" si="1"/>
        <v>0.68281748956030441</v>
      </c>
      <c r="V15" s="2">
        <f t="shared" si="2"/>
        <v>0.71186440677966101</v>
      </c>
    </row>
    <row r="16" spans="1:28" x14ac:dyDescent="0.25">
      <c r="A16" t="s">
        <v>10</v>
      </c>
      <c r="B16" t="s">
        <v>9</v>
      </c>
      <c r="C16" t="s">
        <v>8</v>
      </c>
      <c r="D16" s="2">
        <v>0.91959776149664296</v>
      </c>
      <c r="E16" s="2">
        <v>0.92209296604033397</v>
      </c>
      <c r="F16" s="2">
        <v>0.91623335091505897</v>
      </c>
      <c r="G16" s="2">
        <v>0.93066775677763303</v>
      </c>
      <c r="H16" s="2">
        <v>0.92106950699227497</v>
      </c>
      <c r="I16" s="2">
        <v>0.92028866738132797</v>
      </c>
      <c r="J16" s="2">
        <v>0.91974749987155802</v>
      </c>
      <c r="K16" s="2">
        <f t="shared" si="0"/>
        <v>0.93066775677763303</v>
      </c>
      <c r="N16" s="4"/>
      <c r="O16" t="s">
        <v>7</v>
      </c>
      <c r="P16" s="1">
        <f>_xlfn.T.TEST(D9:J9,D15:J15,2,1)</f>
        <v>3.3522300830370901E-4</v>
      </c>
      <c r="R16" t="s">
        <v>10</v>
      </c>
      <c r="S16" t="s">
        <v>9</v>
      </c>
      <c r="T16" t="s">
        <v>8</v>
      </c>
      <c r="U16" s="2">
        <f t="shared" si="1"/>
        <v>0.92254565828155799</v>
      </c>
      <c r="V16" s="2">
        <f t="shared" si="2"/>
        <v>0.93066775677763303</v>
      </c>
    </row>
    <row r="17" spans="1:29" x14ac:dyDescent="0.25">
      <c r="N17" s="4"/>
      <c r="O17" t="s">
        <v>8</v>
      </c>
      <c r="P17" s="1">
        <f>_xlfn.T.TEST(D10:J10,D16:J16,2,1)</f>
        <v>4.0113062626699511E-4</v>
      </c>
    </row>
    <row r="18" spans="1:29" x14ac:dyDescent="0.25">
      <c r="A18" s="3" t="s">
        <v>27</v>
      </c>
      <c r="B18" s="3"/>
      <c r="C18" s="3"/>
      <c r="D18" s="3"/>
      <c r="E18" s="3"/>
      <c r="F18" s="3"/>
      <c r="G18" s="3"/>
      <c r="H18" s="3"/>
      <c r="I18" s="3"/>
      <c r="J18" s="3"/>
    </row>
    <row r="19" spans="1:29" x14ac:dyDescent="0.25">
      <c r="A19" t="s">
        <v>0</v>
      </c>
      <c r="B19" t="s">
        <v>1</v>
      </c>
      <c r="C19" t="s">
        <v>2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N19" t="s">
        <v>0</v>
      </c>
      <c r="O19" t="s">
        <v>1</v>
      </c>
      <c r="P19" t="s">
        <v>2</v>
      </c>
      <c r="Q19" t="s">
        <v>19</v>
      </c>
      <c r="R19" t="s">
        <v>20</v>
      </c>
      <c r="S19" t="s">
        <v>21</v>
      </c>
      <c r="T19" t="s">
        <v>22</v>
      </c>
      <c r="U19" t="s">
        <v>23</v>
      </c>
      <c r="V19" t="s">
        <v>24</v>
      </c>
      <c r="W19" t="s">
        <v>25</v>
      </c>
      <c r="X19" t="s">
        <v>17</v>
      </c>
      <c r="Z19" t="s">
        <v>0</v>
      </c>
      <c r="AA19" t="s">
        <v>1</v>
      </c>
      <c r="AB19" t="s">
        <v>2</v>
      </c>
      <c r="AC19" t="str">
        <f>X19</f>
        <v>T-Test</v>
      </c>
    </row>
    <row r="20" spans="1:29" x14ac:dyDescent="0.25">
      <c r="A20" t="s">
        <v>3</v>
      </c>
      <c r="B20" t="s">
        <v>4</v>
      </c>
      <c r="C20" t="s">
        <v>5</v>
      </c>
      <c r="D20">
        <f t="shared" ref="D20:J33" si="3">_xlfn.RANK.AVG(D3, $D3:$J3, 0)</f>
        <v>6</v>
      </c>
      <c r="E20">
        <f t="shared" si="3"/>
        <v>5</v>
      </c>
      <c r="F20">
        <f t="shared" si="3"/>
        <v>3</v>
      </c>
      <c r="G20">
        <f t="shared" si="3"/>
        <v>2</v>
      </c>
      <c r="H20">
        <f t="shared" si="3"/>
        <v>1</v>
      </c>
      <c r="I20">
        <f t="shared" si="3"/>
        <v>4</v>
      </c>
      <c r="J20">
        <f t="shared" si="3"/>
        <v>7</v>
      </c>
      <c r="N20" t="s">
        <v>3</v>
      </c>
      <c r="O20" t="s">
        <v>4</v>
      </c>
      <c r="P20" t="s">
        <v>5</v>
      </c>
      <c r="Q20" s="2">
        <f t="shared" ref="Q20:Q33" si="4">E3</f>
        <v>0.31481481481481399</v>
      </c>
      <c r="R20" s="2">
        <f t="shared" ref="R20:R33" si="5">G3</f>
        <v>0.53939716999418497</v>
      </c>
      <c r="S20" s="2">
        <f t="shared" ref="S20:S33" si="6">H3</f>
        <v>0.61033411033411</v>
      </c>
      <c r="T20">
        <v>0.70630000000000004</v>
      </c>
      <c r="U20" s="2">
        <f t="shared" ref="U20:U33" si="7">I3</f>
        <v>0.40201465201465197</v>
      </c>
      <c r="V20" s="2">
        <f t="shared" ref="V20:V33" si="8">F3</f>
        <v>0.44775132275132201</v>
      </c>
      <c r="W20" s="2">
        <f t="shared" ref="W20:W33" si="9">D3</f>
        <v>0.25164835164835098</v>
      </c>
      <c r="X20" s="1">
        <f>_xlfn.T.TEST(Q20:U20,V20:W20,2,3)</f>
        <v>0.29710206253622506</v>
      </c>
      <c r="Z20" t="s">
        <v>3</v>
      </c>
      <c r="AA20" t="s">
        <v>4</v>
      </c>
      <c r="AB20" t="s">
        <v>5</v>
      </c>
      <c r="AC20" s="1">
        <f>X20</f>
        <v>0.29710206253622506</v>
      </c>
    </row>
    <row r="21" spans="1:29" x14ac:dyDescent="0.25">
      <c r="A21" t="s">
        <v>3</v>
      </c>
      <c r="B21" t="s">
        <v>4</v>
      </c>
      <c r="C21" t="s">
        <v>6</v>
      </c>
      <c r="D21">
        <f t="shared" si="3"/>
        <v>6</v>
      </c>
      <c r="E21">
        <f t="shared" si="3"/>
        <v>1.5</v>
      </c>
      <c r="F21">
        <f t="shared" si="3"/>
        <v>4</v>
      </c>
      <c r="G21">
        <f t="shared" si="3"/>
        <v>4</v>
      </c>
      <c r="H21">
        <f t="shared" si="3"/>
        <v>4</v>
      </c>
      <c r="I21">
        <f t="shared" si="3"/>
        <v>7</v>
      </c>
      <c r="J21">
        <f t="shared" si="3"/>
        <v>1.5</v>
      </c>
      <c r="N21" t="s">
        <v>3</v>
      </c>
      <c r="O21" t="s">
        <v>4</v>
      </c>
      <c r="P21" t="s">
        <v>6</v>
      </c>
      <c r="Q21" s="2">
        <f t="shared" si="4"/>
        <v>0.88888888888888795</v>
      </c>
      <c r="R21" s="2">
        <f t="shared" si="5"/>
        <v>0.88753387533875305</v>
      </c>
      <c r="S21" s="2">
        <f t="shared" si="6"/>
        <v>0.88753387533875305</v>
      </c>
      <c r="T21">
        <v>1.7062999999999999</v>
      </c>
      <c r="U21" s="2">
        <f t="shared" si="7"/>
        <v>0.64176706827309205</v>
      </c>
      <c r="V21" s="2">
        <f t="shared" si="8"/>
        <v>0.88753387533875305</v>
      </c>
      <c r="W21" s="2">
        <f t="shared" si="9"/>
        <v>0.85049683830171596</v>
      </c>
      <c r="X21" s="1">
        <f t="shared" ref="X21:X33" si="10">_xlfn.T.TEST(Q21:U21,V21:W21,2,3)</f>
        <v>0.50625183666725238</v>
      </c>
      <c r="AB21" t="s">
        <v>6</v>
      </c>
      <c r="AC21" s="1">
        <f>X21</f>
        <v>0.50625183666725238</v>
      </c>
    </row>
    <row r="22" spans="1:29" x14ac:dyDescent="0.25">
      <c r="A22" t="s">
        <v>3</v>
      </c>
      <c r="B22" t="s">
        <v>4</v>
      </c>
      <c r="C22" t="s">
        <v>7</v>
      </c>
      <c r="D22">
        <f t="shared" si="3"/>
        <v>4</v>
      </c>
      <c r="E22">
        <f t="shared" si="3"/>
        <v>1.5</v>
      </c>
      <c r="F22">
        <f t="shared" si="3"/>
        <v>4</v>
      </c>
      <c r="G22">
        <f t="shared" si="3"/>
        <v>6.5</v>
      </c>
      <c r="H22">
        <f t="shared" si="3"/>
        <v>4</v>
      </c>
      <c r="I22">
        <f t="shared" si="3"/>
        <v>1.5</v>
      </c>
      <c r="J22">
        <f t="shared" si="3"/>
        <v>6.5</v>
      </c>
      <c r="N22" t="s">
        <v>3</v>
      </c>
      <c r="O22" t="s">
        <v>4</v>
      </c>
      <c r="P22" t="s">
        <v>7</v>
      </c>
      <c r="Q22" s="2">
        <f t="shared" si="4"/>
        <v>0.56451612903225801</v>
      </c>
      <c r="R22" s="2">
        <f t="shared" si="5"/>
        <v>0.532258064516129</v>
      </c>
      <c r="S22" s="2">
        <f t="shared" si="6"/>
        <v>0.54838709677419295</v>
      </c>
      <c r="T22">
        <v>2.7063000000000001</v>
      </c>
      <c r="U22" s="2">
        <f t="shared" si="7"/>
        <v>0.56451612903225801</v>
      </c>
      <c r="V22" s="2">
        <f t="shared" si="8"/>
        <v>0.54838709677419295</v>
      </c>
      <c r="W22" s="2">
        <f t="shared" si="9"/>
        <v>0.54838709677419295</v>
      </c>
      <c r="X22" s="1">
        <f t="shared" si="10"/>
        <v>0.36994244699650658</v>
      </c>
      <c r="AB22" t="s">
        <v>7</v>
      </c>
      <c r="AC22" s="1">
        <f t="shared" ref="AC22:AC33" si="11">X22</f>
        <v>0.36994244699650658</v>
      </c>
    </row>
    <row r="23" spans="1:29" x14ac:dyDescent="0.25">
      <c r="A23" t="s">
        <v>3</v>
      </c>
      <c r="B23" t="s">
        <v>4</v>
      </c>
      <c r="C23" t="s">
        <v>8</v>
      </c>
      <c r="D23">
        <f t="shared" si="3"/>
        <v>7</v>
      </c>
      <c r="E23">
        <f t="shared" si="3"/>
        <v>5</v>
      </c>
      <c r="F23">
        <f t="shared" si="3"/>
        <v>4</v>
      </c>
      <c r="G23">
        <f t="shared" si="3"/>
        <v>2</v>
      </c>
      <c r="H23">
        <f t="shared" si="3"/>
        <v>1</v>
      </c>
      <c r="I23">
        <f t="shared" si="3"/>
        <v>3</v>
      </c>
      <c r="J23">
        <f t="shared" si="3"/>
        <v>6</v>
      </c>
      <c r="N23" t="s">
        <v>3</v>
      </c>
      <c r="O23" t="s">
        <v>4</v>
      </c>
      <c r="P23" t="s">
        <v>8</v>
      </c>
      <c r="Q23" s="2">
        <f t="shared" si="4"/>
        <v>0.93693624809750697</v>
      </c>
      <c r="R23" s="2">
        <f t="shared" si="5"/>
        <v>0.93921254899805395</v>
      </c>
      <c r="S23" s="2">
        <f t="shared" si="6"/>
        <v>0.94103105767865403</v>
      </c>
      <c r="T23">
        <v>3.7063000000000001</v>
      </c>
      <c r="U23" s="2">
        <f t="shared" si="7"/>
        <v>0.93818995798279103</v>
      </c>
      <c r="V23" s="2">
        <f t="shared" si="8"/>
        <v>0.937398235085805</v>
      </c>
      <c r="W23" s="2">
        <f t="shared" si="9"/>
        <v>0.93268535020237997</v>
      </c>
      <c r="X23" s="1">
        <f t="shared" si="10"/>
        <v>0.3709653179121149</v>
      </c>
      <c r="AB23" t="s">
        <v>8</v>
      </c>
      <c r="AC23" s="1">
        <f t="shared" si="11"/>
        <v>0.3709653179121149</v>
      </c>
    </row>
    <row r="24" spans="1:29" x14ac:dyDescent="0.25">
      <c r="A24" t="s">
        <v>3</v>
      </c>
      <c r="B24" t="s">
        <v>9</v>
      </c>
      <c r="C24" t="s">
        <v>5</v>
      </c>
      <c r="D24">
        <f t="shared" si="3"/>
        <v>6</v>
      </c>
      <c r="E24">
        <f t="shared" si="3"/>
        <v>1</v>
      </c>
      <c r="F24">
        <f t="shared" si="3"/>
        <v>2</v>
      </c>
      <c r="G24">
        <f t="shared" si="3"/>
        <v>4</v>
      </c>
      <c r="H24">
        <f t="shared" si="3"/>
        <v>7</v>
      </c>
      <c r="I24">
        <f t="shared" si="3"/>
        <v>3</v>
      </c>
      <c r="J24">
        <f t="shared" si="3"/>
        <v>5</v>
      </c>
      <c r="N24" t="s">
        <v>3</v>
      </c>
      <c r="O24" t="s">
        <v>9</v>
      </c>
      <c r="P24" t="s">
        <v>5</v>
      </c>
      <c r="Q24" s="2">
        <f t="shared" si="4"/>
        <v>0.51165501165501104</v>
      </c>
      <c r="R24" s="2">
        <f t="shared" si="5"/>
        <v>0.43153594771241799</v>
      </c>
      <c r="S24" s="2">
        <f t="shared" si="6"/>
        <v>0.391666666666666</v>
      </c>
      <c r="T24">
        <v>4.7062999999999997</v>
      </c>
      <c r="U24" s="2">
        <f t="shared" si="7"/>
        <v>0.45571658615136801</v>
      </c>
      <c r="V24" s="2">
        <f t="shared" si="8"/>
        <v>0.48756218905472598</v>
      </c>
      <c r="W24" s="2">
        <f t="shared" si="9"/>
        <v>0.416901408450704</v>
      </c>
      <c r="X24" s="1">
        <f t="shared" si="10"/>
        <v>0.37652169714308786</v>
      </c>
      <c r="AA24" t="s">
        <v>9</v>
      </c>
      <c r="AB24" t="s">
        <v>5</v>
      </c>
      <c r="AC24" s="1">
        <f t="shared" si="11"/>
        <v>0.37652169714308786</v>
      </c>
    </row>
    <row r="25" spans="1:29" x14ac:dyDescent="0.25">
      <c r="A25" t="s">
        <v>3</v>
      </c>
      <c r="B25" t="s">
        <v>9</v>
      </c>
      <c r="C25" t="s">
        <v>6</v>
      </c>
      <c r="D25">
        <f t="shared" si="3"/>
        <v>3.5</v>
      </c>
      <c r="E25">
        <f t="shared" si="3"/>
        <v>3.5</v>
      </c>
      <c r="F25">
        <f t="shared" si="3"/>
        <v>7</v>
      </c>
      <c r="G25">
        <f t="shared" si="3"/>
        <v>3.5</v>
      </c>
      <c r="H25">
        <f t="shared" si="3"/>
        <v>3.5</v>
      </c>
      <c r="I25">
        <f>_xlfn.RANK.AVG(I8, $D8:$J8, 0)</f>
        <v>1</v>
      </c>
      <c r="J25">
        <f t="shared" si="3"/>
        <v>6</v>
      </c>
      <c r="N25" t="s">
        <v>3</v>
      </c>
      <c r="O25" t="s">
        <v>9</v>
      </c>
      <c r="P25" t="s">
        <v>6</v>
      </c>
      <c r="Q25" s="2">
        <f t="shared" si="4"/>
        <v>0.88753387533875305</v>
      </c>
      <c r="R25" s="2">
        <f t="shared" si="5"/>
        <v>0.88753387533875305</v>
      </c>
      <c r="S25" s="2">
        <f t="shared" si="6"/>
        <v>0.88753387533875305</v>
      </c>
      <c r="T25">
        <v>5.7062999999999997</v>
      </c>
      <c r="U25" s="2">
        <f t="shared" si="7"/>
        <v>0.88888888888888795</v>
      </c>
      <c r="V25" s="2">
        <f t="shared" si="8"/>
        <v>0.85049683830171596</v>
      </c>
      <c r="W25" s="2">
        <f t="shared" si="9"/>
        <v>0.88753387533875305</v>
      </c>
      <c r="X25" s="1">
        <f t="shared" si="10"/>
        <v>0.36562170119170334</v>
      </c>
      <c r="AB25" t="s">
        <v>6</v>
      </c>
      <c r="AC25" s="1">
        <f t="shared" si="11"/>
        <v>0.36562170119170334</v>
      </c>
    </row>
    <row r="26" spans="1:29" x14ac:dyDescent="0.25">
      <c r="A26" t="s">
        <v>3</v>
      </c>
      <c r="B26" t="s">
        <v>9</v>
      </c>
      <c r="C26" t="s">
        <v>7</v>
      </c>
      <c r="D26">
        <f t="shared" si="3"/>
        <v>4.5</v>
      </c>
      <c r="E26">
        <f t="shared" si="3"/>
        <v>1.5</v>
      </c>
      <c r="F26">
        <f t="shared" si="3"/>
        <v>4.5</v>
      </c>
      <c r="G26">
        <f t="shared" si="3"/>
        <v>4.5</v>
      </c>
      <c r="H26">
        <f t="shared" si="3"/>
        <v>4.5</v>
      </c>
      <c r="I26">
        <f t="shared" si="3"/>
        <v>1.5</v>
      </c>
      <c r="J26">
        <f t="shared" si="3"/>
        <v>7</v>
      </c>
      <c r="N26" t="s">
        <v>3</v>
      </c>
      <c r="O26" t="s">
        <v>9</v>
      </c>
      <c r="P26" t="s">
        <v>7</v>
      </c>
      <c r="Q26" s="2">
        <f t="shared" si="4"/>
        <v>0.56451612903225801</v>
      </c>
      <c r="R26" s="2">
        <f t="shared" si="5"/>
        <v>0.54838709677419295</v>
      </c>
      <c r="S26" s="2">
        <f t="shared" si="6"/>
        <v>0.54838709677419295</v>
      </c>
      <c r="T26">
        <v>6.7062999999999997</v>
      </c>
      <c r="U26" s="2">
        <f t="shared" si="7"/>
        <v>0.56451612903225801</v>
      </c>
      <c r="V26" s="2">
        <f t="shared" si="8"/>
        <v>0.54838709677419295</v>
      </c>
      <c r="W26" s="2">
        <f t="shared" si="9"/>
        <v>0.54838709677419295</v>
      </c>
      <c r="X26" s="1">
        <f t="shared" si="10"/>
        <v>0.37109708565412991</v>
      </c>
      <c r="AB26" t="s">
        <v>7</v>
      </c>
      <c r="AC26" s="1">
        <f t="shared" si="11"/>
        <v>0.37109708565412991</v>
      </c>
    </row>
    <row r="27" spans="1:29" x14ac:dyDescent="0.25">
      <c r="A27" t="s">
        <v>3</v>
      </c>
      <c r="B27" t="s">
        <v>9</v>
      </c>
      <c r="C27" t="s">
        <v>8</v>
      </c>
      <c r="D27">
        <f t="shared" si="3"/>
        <v>1</v>
      </c>
      <c r="E27">
        <f t="shared" si="3"/>
        <v>4</v>
      </c>
      <c r="F27">
        <f t="shared" si="3"/>
        <v>2</v>
      </c>
      <c r="G27">
        <f t="shared" si="3"/>
        <v>5</v>
      </c>
      <c r="H27">
        <f t="shared" si="3"/>
        <v>6</v>
      </c>
      <c r="I27">
        <f t="shared" si="3"/>
        <v>7</v>
      </c>
      <c r="J27">
        <f t="shared" si="3"/>
        <v>3</v>
      </c>
      <c r="N27" t="s">
        <v>3</v>
      </c>
      <c r="O27" t="s">
        <v>9</v>
      </c>
      <c r="P27" t="s">
        <v>8</v>
      </c>
      <c r="Q27" s="2">
        <f t="shared" si="4"/>
        <v>0.93764496357021698</v>
      </c>
      <c r="R27" s="2">
        <f t="shared" si="5"/>
        <v>0.936997318893808</v>
      </c>
      <c r="S27" s="2">
        <f t="shared" si="6"/>
        <v>0.93419117816160502</v>
      </c>
      <c r="T27">
        <v>7.7062999999999997</v>
      </c>
      <c r="U27" s="2">
        <f t="shared" si="7"/>
        <v>0.93158403611311402</v>
      </c>
      <c r="V27" s="2">
        <f t="shared" si="8"/>
        <v>0.93944455915457203</v>
      </c>
      <c r="W27" s="2">
        <f t="shared" si="9"/>
        <v>0.93973917514745398</v>
      </c>
      <c r="X27" s="1">
        <f t="shared" si="10"/>
        <v>0.37532610068127725</v>
      </c>
      <c r="AB27" t="s">
        <v>8</v>
      </c>
      <c r="AC27" s="1">
        <f t="shared" si="11"/>
        <v>0.37532610068127725</v>
      </c>
    </row>
    <row r="28" spans="1:29" x14ac:dyDescent="0.25">
      <c r="A28" t="s">
        <v>10</v>
      </c>
      <c r="B28" t="s">
        <v>4</v>
      </c>
      <c r="C28" t="s">
        <v>6</v>
      </c>
      <c r="D28">
        <f t="shared" si="3"/>
        <v>4.5</v>
      </c>
      <c r="E28">
        <f t="shared" si="3"/>
        <v>2</v>
      </c>
      <c r="F28">
        <f t="shared" si="3"/>
        <v>2</v>
      </c>
      <c r="G28">
        <f t="shared" si="3"/>
        <v>6</v>
      </c>
      <c r="H28">
        <f t="shared" si="3"/>
        <v>2</v>
      </c>
      <c r="I28">
        <f t="shared" si="3"/>
        <v>4.5</v>
      </c>
      <c r="J28">
        <f t="shared" si="3"/>
        <v>7</v>
      </c>
      <c r="N28" t="s">
        <v>10</v>
      </c>
      <c r="O28" t="s">
        <v>4</v>
      </c>
      <c r="P28" t="s">
        <v>6</v>
      </c>
      <c r="Q28" s="2">
        <f t="shared" si="4"/>
        <v>1</v>
      </c>
      <c r="R28" s="2">
        <f t="shared" si="5"/>
        <v>0.98611111111111105</v>
      </c>
      <c r="S28" s="2">
        <f t="shared" si="6"/>
        <v>1</v>
      </c>
      <c r="T28">
        <v>8.7063000000000006</v>
      </c>
      <c r="U28" s="2">
        <f t="shared" si="7"/>
        <v>0.99572649572649496</v>
      </c>
      <c r="V28" s="2">
        <f t="shared" si="8"/>
        <v>1</v>
      </c>
      <c r="W28" s="2">
        <f t="shared" si="9"/>
        <v>0.99572649572649496</v>
      </c>
      <c r="X28" s="1">
        <f t="shared" si="10"/>
        <v>0.37457148721099831</v>
      </c>
      <c r="Z28" t="s">
        <v>10</v>
      </c>
      <c r="AA28" t="s">
        <v>4</v>
      </c>
      <c r="AB28" t="s">
        <v>6</v>
      </c>
      <c r="AC28" s="1">
        <f t="shared" si="11"/>
        <v>0.37457148721099831</v>
      </c>
    </row>
    <row r="29" spans="1:29" x14ac:dyDescent="0.25">
      <c r="A29" t="s">
        <v>10</v>
      </c>
      <c r="B29" t="s">
        <v>4</v>
      </c>
      <c r="C29" t="s">
        <v>7</v>
      </c>
      <c r="D29">
        <f t="shared" si="3"/>
        <v>2</v>
      </c>
      <c r="E29">
        <f t="shared" si="3"/>
        <v>2</v>
      </c>
      <c r="F29">
        <f t="shared" si="3"/>
        <v>4</v>
      </c>
      <c r="G29">
        <f t="shared" si="3"/>
        <v>5.5</v>
      </c>
      <c r="H29">
        <f t="shared" si="3"/>
        <v>5.5</v>
      </c>
      <c r="I29">
        <f t="shared" si="3"/>
        <v>2</v>
      </c>
      <c r="J29">
        <f t="shared" si="3"/>
        <v>7</v>
      </c>
      <c r="N29" t="s">
        <v>10</v>
      </c>
      <c r="O29" t="s">
        <v>4</v>
      </c>
      <c r="P29" t="s">
        <v>7</v>
      </c>
      <c r="Q29" s="2">
        <f t="shared" si="4"/>
        <v>0.71186440677966101</v>
      </c>
      <c r="R29" s="2">
        <f t="shared" si="5"/>
        <v>0.677966101694915</v>
      </c>
      <c r="S29" s="2">
        <f t="shared" si="6"/>
        <v>0.677966101694915</v>
      </c>
      <c r="T29">
        <v>9.7063000000000006</v>
      </c>
      <c r="U29" s="2">
        <f t="shared" si="7"/>
        <v>0.71186440677966101</v>
      </c>
      <c r="V29" s="2">
        <f t="shared" si="8"/>
        <v>0.68926553672316304</v>
      </c>
      <c r="W29" s="2">
        <f t="shared" si="9"/>
        <v>0.71186440677966101</v>
      </c>
      <c r="X29" s="1">
        <f t="shared" si="10"/>
        <v>0.37525702085671403</v>
      </c>
      <c r="AB29" t="s">
        <v>7</v>
      </c>
      <c r="AC29" s="1">
        <f t="shared" si="11"/>
        <v>0.37525702085671403</v>
      </c>
    </row>
    <row r="30" spans="1:29" x14ac:dyDescent="0.25">
      <c r="A30" t="s">
        <v>10</v>
      </c>
      <c r="B30" t="s">
        <v>4</v>
      </c>
      <c r="C30" t="s">
        <v>8</v>
      </c>
      <c r="D30">
        <f t="shared" si="3"/>
        <v>5</v>
      </c>
      <c r="E30">
        <f t="shared" si="3"/>
        <v>1</v>
      </c>
      <c r="F30">
        <f t="shared" si="3"/>
        <v>6</v>
      </c>
      <c r="G30">
        <f t="shared" si="3"/>
        <v>7</v>
      </c>
      <c r="H30">
        <f t="shared" si="3"/>
        <v>3</v>
      </c>
      <c r="I30">
        <f t="shared" si="3"/>
        <v>4</v>
      </c>
      <c r="J30">
        <f t="shared" si="3"/>
        <v>2</v>
      </c>
      <c r="N30" t="s">
        <v>10</v>
      </c>
      <c r="O30" t="s">
        <v>4</v>
      </c>
      <c r="P30" t="s">
        <v>8</v>
      </c>
      <c r="Q30" s="2">
        <f t="shared" si="4"/>
        <v>0.93055030097717195</v>
      </c>
      <c r="R30" s="2">
        <f t="shared" si="5"/>
        <v>0.90245218913699399</v>
      </c>
      <c r="S30" s="2">
        <f t="shared" si="6"/>
        <v>0.92046569313716597</v>
      </c>
      <c r="T30">
        <v>10.706300000000001</v>
      </c>
      <c r="U30" s="2">
        <f t="shared" si="7"/>
        <v>0.91508525064456303</v>
      </c>
      <c r="V30" s="2">
        <f t="shared" si="8"/>
        <v>0.91151442820615702</v>
      </c>
      <c r="W30" s="2">
        <f t="shared" si="9"/>
        <v>0.91333063316442797</v>
      </c>
      <c r="X30" s="1">
        <f t="shared" si="10"/>
        <v>0.37286927063437891</v>
      </c>
      <c r="AB30" t="s">
        <v>8</v>
      </c>
      <c r="AC30" s="1">
        <f t="shared" si="11"/>
        <v>0.37286927063437891</v>
      </c>
    </row>
    <row r="31" spans="1:29" x14ac:dyDescent="0.25">
      <c r="A31" t="s">
        <v>10</v>
      </c>
      <c r="B31" t="s">
        <v>9</v>
      </c>
      <c r="C31" t="s">
        <v>6</v>
      </c>
      <c r="D31">
        <f t="shared" si="3"/>
        <v>6.5</v>
      </c>
      <c r="E31">
        <f t="shared" si="3"/>
        <v>1.5</v>
      </c>
      <c r="F31">
        <f t="shared" si="3"/>
        <v>1.5</v>
      </c>
      <c r="G31">
        <f t="shared" si="3"/>
        <v>3.5</v>
      </c>
      <c r="H31">
        <f t="shared" si="3"/>
        <v>5</v>
      </c>
      <c r="I31">
        <f t="shared" si="3"/>
        <v>6.5</v>
      </c>
      <c r="J31">
        <f t="shared" si="3"/>
        <v>3.5</v>
      </c>
      <c r="N31" t="s">
        <v>10</v>
      </c>
      <c r="O31" t="s">
        <v>9</v>
      </c>
      <c r="P31" t="s">
        <v>6</v>
      </c>
      <c r="Q31" s="2">
        <f t="shared" si="4"/>
        <v>1</v>
      </c>
      <c r="R31" s="2">
        <f t="shared" si="5"/>
        <v>0.99711399711399695</v>
      </c>
      <c r="S31" s="2">
        <f t="shared" si="6"/>
        <v>0.98611111111111105</v>
      </c>
      <c r="T31">
        <v>11.706300000000001</v>
      </c>
      <c r="U31" s="2">
        <f t="shared" si="7"/>
        <v>0.97855750487329396</v>
      </c>
      <c r="V31" s="2">
        <f t="shared" si="8"/>
        <v>1</v>
      </c>
      <c r="W31" s="2">
        <f t="shared" si="9"/>
        <v>0.97855750487329396</v>
      </c>
      <c r="X31" s="1">
        <f t="shared" si="10"/>
        <v>0.37367070209701275</v>
      </c>
      <c r="AA31" t="s">
        <v>9</v>
      </c>
      <c r="AB31" t="s">
        <v>6</v>
      </c>
      <c r="AC31" s="1">
        <f t="shared" si="11"/>
        <v>0.37367070209701275</v>
      </c>
    </row>
    <row r="32" spans="1:29" x14ac:dyDescent="0.25">
      <c r="A32" t="s">
        <v>10</v>
      </c>
      <c r="B32" t="s">
        <v>9</v>
      </c>
      <c r="C32" t="s">
        <v>7</v>
      </c>
      <c r="D32">
        <f t="shared" si="3"/>
        <v>2</v>
      </c>
      <c r="E32">
        <f t="shared" si="3"/>
        <v>2</v>
      </c>
      <c r="F32">
        <f t="shared" si="3"/>
        <v>6</v>
      </c>
      <c r="G32">
        <f t="shared" si="3"/>
        <v>4.5</v>
      </c>
      <c r="H32">
        <f t="shared" si="3"/>
        <v>4.5</v>
      </c>
      <c r="I32">
        <f t="shared" si="3"/>
        <v>2</v>
      </c>
      <c r="J32">
        <f t="shared" si="3"/>
        <v>7</v>
      </c>
      <c r="N32" t="s">
        <v>10</v>
      </c>
      <c r="O32" t="s">
        <v>9</v>
      </c>
      <c r="P32" t="s">
        <v>7</v>
      </c>
      <c r="Q32" s="2">
        <f t="shared" si="4"/>
        <v>0.71186440677966101</v>
      </c>
      <c r="R32" s="2">
        <f t="shared" si="5"/>
        <v>0.69491525423728795</v>
      </c>
      <c r="S32" s="2">
        <f t="shared" si="6"/>
        <v>0.69491525423728795</v>
      </c>
      <c r="T32">
        <v>12.706300000000001</v>
      </c>
      <c r="U32" s="2">
        <f t="shared" si="7"/>
        <v>0.71186440677966101</v>
      </c>
      <c r="V32" s="2">
        <f t="shared" si="8"/>
        <v>0.68852861704740798</v>
      </c>
      <c r="W32" s="2">
        <f t="shared" si="9"/>
        <v>0.71186440677966101</v>
      </c>
      <c r="X32" s="1">
        <f t="shared" si="10"/>
        <v>0.37333336345176932</v>
      </c>
      <c r="AB32" t="s">
        <v>7</v>
      </c>
      <c r="AC32" s="1">
        <f t="shared" si="11"/>
        <v>0.37333336345176932</v>
      </c>
    </row>
    <row r="33" spans="1:29" x14ac:dyDescent="0.25">
      <c r="A33" t="s">
        <v>10</v>
      </c>
      <c r="B33" t="s">
        <v>9</v>
      </c>
      <c r="C33" t="s">
        <v>8</v>
      </c>
      <c r="D33">
        <f t="shared" si="3"/>
        <v>6</v>
      </c>
      <c r="E33">
        <f t="shared" si="3"/>
        <v>2</v>
      </c>
      <c r="F33">
        <f t="shared" si="3"/>
        <v>7</v>
      </c>
      <c r="G33">
        <f t="shared" si="3"/>
        <v>1</v>
      </c>
      <c r="H33">
        <f t="shared" si="3"/>
        <v>3</v>
      </c>
      <c r="I33">
        <f t="shared" si="3"/>
        <v>4</v>
      </c>
      <c r="J33">
        <f t="shared" si="3"/>
        <v>5</v>
      </c>
      <c r="N33" t="s">
        <v>10</v>
      </c>
      <c r="O33" t="s">
        <v>9</v>
      </c>
      <c r="P33" t="s">
        <v>8</v>
      </c>
      <c r="Q33" s="2">
        <f t="shared" si="4"/>
        <v>0.92209296604033397</v>
      </c>
      <c r="R33" s="2">
        <f t="shared" si="5"/>
        <v>0.93066775677763303</v>
      </c>
      <c r="S33" s="2">
        <f t="shared" si="6"/>
        <v>0.92106950699227497</v>
      </c>
      <c r="T33">
        <v>13.706300000000001</v>
      </c>
      <c r="U33" s="2">
        <f t="shared" si="7"/>
        <v>0.92028866738132797</v>
      </c>
      <c r="V33" s="2">
        <f t="shared" si="8"/>
        <v>0.91623335091505897</v>
      </c>
      <c r="W33" s="2">
        <f t="shared" si="9"/>
        <v>0.91959776149664296</v>
      </c>
      <c r="X33" s="1">
        <f t="shared" si="10"/>
        <v>0.37295936902999283</v>
      </c>
      <c r="AB33" t="s">
        <v>8</v>
      </c>
      <c r="AC33" s="1">
        <f t="shared" si="11"/>
        <v>0.37295936902999283</v>
      </c>
    </row>
    <row r="34" spans="1:29" x14ac:dyDescent="0.25">
      <c r="C34" t="s">
        <v>11</v>
      </c>
      <c r="D34">
        <f>AVERAGE(D20:D33)</f>
        <v>4.5714285714285712</v>
      </c>
      <c r="E34">
        <f t="shared" ref="E34:J34" si="12">AVERAGE(E20:E33)</f>
        <v>2.3928571428571428</v>
      </c>
      <c r="F34">
        <f t="shared" si="12"/>
        <v>4.0714285714285712</v>
      </c>
      <c r="G34">
        <f t="shared" si="12"/>
        <v>4.2142857142857144</v>
      </c>
      <c r="H34">
        <f t="shared" si="12"/>
        <v>3.8571428571428572</v>
      </c>
      <c r="I34">
        <f t="shared" si="12"/>
        <v>3.6428571428571428</v>
      </c>
      <c r="J34">
        <f t="shared" si="12"/>
        <v>5.25</v>
      </c>
    </row>
    <row r="35" spans="1:29" x14ac:dyDescent="0.25">
      <c r="C35" t="s">
        <v>12</v>
      </c>
      <c r="D35">
        <f t="shared" ref="D35:J35" si="13">_xlfn.RANK.AVG(D34, $D34:$J34, 1)</f>
        <v>6</v>
      </c>
      <c r="E35">
        <f t="shared" si="13"/>
        <v>1</v>
      </c>
      <c r="F35">
        <f t="shared" si="13"/>
        <v>4</v>
      </c>
      <c r="G35">
        <f t="shared" si="13"/>
        <v>5</v>
      </c>
      <c r="H35">
        <f t="shared" si="13"/>
        <v>3</v>
      </c>
      <c r="I35">
        <f t="shared" si="13"/>
        <v>2</v>
      </c>
      <c r="J35">
        <f t="shared" si="13"/>
        <v>7</v>
      </c>
    </row>
  </sheetData>
  <mergeCells count="5">
    <mergeCell ref="A18:J18"/>
    <mergeCell ref="A1:J1"/>
    <mergeCell ref="N1:P1"/>
    <mergeCell ref="N12:N14"/>
    <mergeCell ref="N15:N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Preuss</dc:creator>
  <cp:lastModifiedBy>Nathan Preuss</cp:lastModifiedBy>
  <dcterms:created xsi:type="dcterms:W3CDTF">2026-03-31T13:50:19Z</dcterms:created>
  <dcterms:modified xsi:type="dcterms:W3CDTF">2026-06-04T18:54:52Z</dcterms:modified>
</cp:coreProperties>
</file>